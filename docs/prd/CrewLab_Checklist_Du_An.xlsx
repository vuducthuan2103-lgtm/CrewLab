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Tổng quan" sheetId="2" state="visible" r:id="rId4"/>
    <sheet name="Chú thích" sheetId="3" state="visible" r:id="rId5"/>
  </sheets>
  <definedNames>
    <definedName function="false" hidden="true" localSheetId="0" name="_xlnm._FilterDatabase" vbProcedure="false">Checklist!$A$1:$K$195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<sst xmlns="http://schemas.openxmlformats.org/spreadsheetml/2006/main" count="911" uniqueCount="326">
  <si>
    <t xml:space="preserve">STT</t>
  </si>
  <si>
    <t xml:space="preserve">Phase</t>
  </si>
  <si>
    <t xml:space="preserve">Công việc</t>
  </si>
  <si>
    <t xml:space="preserve">PIC</t>
  </si>
  <si>
    <t xml:space="preserve">Bắt đầu</t>
  </si>
  <si>
    <t xml:space="preserve">Kết thúc</t>
  </si>
  <si>
    <t xml:space="preserve">Thời lượng (ngày)</t>
  </si>
  <si>
    <t xml:space="preserve">Loại yêu cầu</t>
  </si>
  <si>
    <t xml:space="preserve">Tình trạng</t>
  </si>
  <si>
    <t xml:space="preserve">Tiến độ</t>
  </si>
  <si>
    <t xml:space="preserve">Ghi chú</t>
  </si>
  <si>
    <t xml:space="preserve">Phase 0 – Chuẩn bị (Quyết định &amp; Repo)</t>
  </si>
  <si>
    <t xml:space="preserve">Xác nhận phạm vi Phase 1: build đúng 6 agent theo MVP-Scope v3.4 (A01 Orchestrator kiến trúc đầy đủ + 5 agent nội dung B02/B03/D01/D02/E01) — KHÔNG build theo PRD đầy đủ (12 agent, Hindsight, ChromaDB, Meta, Analytics)</t>
  </si>
  <si>
    <t xml:space="preserve">Quyết định</t>
  </si>
  <si>
    <t xml:space="preserve">Chưa bắt đầu</t>
  </si>
  <si>
    <t xml:space="preserve">Ghi vào docs/decisions/0000, theo MVP-Scope v3.4 mục 1</t>
  </si>
  <si>
    <t xml:space="preserve">Chốt ngưỡng đạt/không đạt của Evaluator (E01): Caption ≥7.0/10 VÀ Visual ≥3.5/5 — Trường &amp; Thuận ký xác nhận</t>
  </si>
  <si>
    <t xml:space="preserve">MVP-Scope v3.4 mục 5, đã đồng bộ PRD v3.2 - chỉ còn chờ ký</t>
  </si>
  <si>
    <t xml:space="preserve">Chốt 4 mặc định tính năng phụ: không chạy chiến dịch ở Phase 1 (luôn Mode B) / form thương hiệu ngắn / lọc ảnh bằng tag / xin ảnh nhắn tay thủ công</t>
  </si>
  <si>
    <t xml:space="preserve">Ghi nhận &amp; khoanh vùng: PRD v1.2 (Tầng 4, do Thuận cập nhật) đã thiết kế lại Portal đầy đủ (Pixel Office, Kanban Task Board, Content Hub 3-tab) cho tầm nhìn full 12-agent — CHƯA thuộc phạm vi Portal đơn giản của Phase 1</t>
  </si>
  <si>
    <t xml:space="preserve">Cần Trường/Thuận xác nhận áp dụng thiết kế này từ Phase nào, tránh Antigravity tự build theo hướng Pixel Office khi đang làm Bước 6</t>
  </si>
  <si>
    <t xml:space="preserve">Tạo repository GitHub (private), mời 2 thành viên</t>
  </si>
  <si>
    <t xml:space="preserve">Hạ tầng</t>
  </si>
  <si>
    <t xml:space="preserve">Thêm file hướng dẫn AI (AGENTS.md) vào gốc repo, cả 2 đọc kỹ 1 lượt</t>
  </si>
  <si>
    <t xml:space="preserve">Tài liệu</t>
  </si>
  <si>
    <t xml:space="preserve">Copy 2 tài liệu gốc mới nhất (PRD-CrewLab.md v1.2 + CrewLab-MVP-Scope-v3.4.md) vào docs/prd, giữ nguyên không sửa trực tiếp</t>
  </si>
  <si>
    <t xml:space="preserve">Phân chia phụ trách module: 1 người phụ trách Backend/Agent logic (A01 + 5 agent), 1 người phụ trách Portal &amp; Internal App</t>
  </si>
  <si>
    <t xml:space="preserve">Bật GitHub MCP trong Antigravity trên cả 2 máy</t>
  </si>
  <si>
    <t xml:space="preserve">Bật bảo vệ nhánh main (bắt buộc qua Pull Request)</t>
  </si>
  <si>
    <t xml:space="preserve">Setup bảng theo dõi công việc (GitHub Projects kanban)</t>
  </si>
  <si>
    <t xml:space="preserve">Vận hành</t>
  </si>
  <si>
    <t xml:space="preserve">Phase 1 – Bước 1: Hạ tầng (VPS/Coolify)</t>
  </si>
  <si>
    <t xml:space="preserve">Thuê &amp; cấu hình VPS Hetzner CAX31</t>
  </si>
  <si>
    <t xml:space="preserve">MVP-Scope v3.4 mục 6 - bước 1, không spike Hindsight/Meta App Review</t>
  </si>
  <si>
    <t xml:space="preserve">Cài Coolify lên VPS để deploy kiểu kéo-thả (git push tự deploy)</t>
  </si>
  <si>
    <t xml:space="preserve">Tạo project Supabase Production (PostgreSQL + Auth + Storage)</t>
  </si>
  <si>
    <t xml:space="preserve">Tạo project Supabase RIÊNG cho Staging (tách biệt hoàn toàn, không chung DB Production)</t>
  </si>
  <si>
    <t xml:space="preserve">Đăng ký &amp; trỏ domain: domain chính Client Portal, subdomain Internal App, domain Backend API</t>
  </si>
  <si>
    <t xml:space="preserve">Cấu hình CORS &amp; biến môi trường tách biệt Local/Staging/Production</t>
  </si>
  <si>
    <t xml:space="preserve">Setup Redis (broker cho Celery)</t>
  </si>
  <si>
    <t xml:space="preserve">Setup Celery Worker + Beat chạy nền cơ bản, thử chạy 1 task test</t>
  </si>
  <si>
    <t xml:space="preserve">Setup CI/CD: push main tự động deploy qua Coolify</t>
  </si>
  <si>
    <t xml:space="preserve">Phase 1 – Bước 2: Nền tảng dữ liệu (C1+C6+C7)</t>
  </si>
  <si>
    <t xml:space="preserve">Viết spec đầu tiên (spec.md): Database rút gọn — mọi agent khác phụ thuộc bảng này</t>
  </si>
  <si>
    <t xml:space="preserve">specs/0001-postgres-schema-mvp</t>
  </si>
  <si>
    <t xml:space="preserve">Bảng "Khách hàng" (clients)</t>
  </si>
  <si>
    <t xml:space="preserve">Dữ liệu</t>
  </si>
  <si>
    <t xml:space="preserve">C1</t>
  </si>
  <si>
    <t xml:space="preserve">Bảng "Người dùng" (users) 3 vai trò: agency_admin, client_admin, client_staff</t>
  </si>
  <si>
    <t xml:space="preserve">Bảng "Cấu hình thương hiệu" (brand_settings) — versioned, không ghi đè bản cũ</t>
  </si>
  <si>
    <t xml:space="preserve">Bảng "Trụ nội dung" (content_pillars)</t>
  </si>
  <si>
    <t xml:space="preserve">Bảng "Bài đăng" (content_items) đủ FSM rút gọn: planned → ready_for_generation → caption_generating → visual_matching → waiting_asset → asset_blocked → visual_generating → evaluating → eval_failed ⟲ → pending_content_approval → approved_ready_to_post → posted / rejected / archived</t>
  </si>
  <si>
    <t xml:space="preserve">C1 - nền tảng mọi agent khác. KHÔNG tạo bảng analytics_records ở Phase 1 (đã bỏ khỏi scope MVP, thuộc Phase 4)</t>
  </si>
  <si>
    <t xml:space="preserve">Bảng "Lịch sử duyệt" (hitl_reviews) — append-only</t>
  </si>
  <si>
    <t xml:space="preserve">Bảng "Nhật ký thao tác" (audit_log) — append-only</t>
  </si>
  <si>
    <t xml:space="preserve">Bảng "Trí nhớ Agent" agent_memory(agent_code, client_id, task_type, input_summary, output_summary, human_feedback, created_at) thay Hindsight</t>
  </si>
  <si>
    <t xml:space="preserve">C3 rút gọn</t>
  </si>
  <si>
    <t xml:space="preserve">Bảng "Thư viện ảnh" (brand_assets)</t>
  </si>
  <si>
    <t xml:space="preserve">C7</t>
  </si>
  <si>
    <t xml:space="preserve">Bảng "Yêu cầu xin ảnh" (asset_requests) — cần trường deadline cho job check_asset_request_expiry</t>
  </si>
  <si>
    <t xml:space="preserve">Viết migration chạy được nhiều lần không lỗi, không làm mất dữ liệu cũ</t>
  </si>
  <si>
    <t xml:space="preserve">Bật RLS phân quyền theo dòng dữ liệu — mỗi khách hàng chỉ thấy đúng dữ liệu của mình</t>
  </si>
  <si>
    <t xml:space="preserve">C6 Multi-tenant</t>
  </si>
  <si>
    <t xml:space="preserve">Kiểm thử: nhập dữ liệu sai trạng thái/sai định dạng phải bị hệ thống từ chối ngay</t>
  </si>
  <si>
    <t xml:space="preserve">Kiểm thử</t>
  </si>
  <si>
    <t xml:space="preserve">Setup Supabase Storage theo cấu trúc thư mục riêng từng khách hàng</t>
  </si>
  <si>
    <t xml:space="preserve">Xây lớp Tool Registry ~10 tool dùng chung cho 6 agent: T02/T03 (recall/retain trí nhớ, trỏ Postgres không Hindsight), T04 query_media_library (tag filter), T05 create_asset_request, T08/T09 (đọc/ghi content plan), T12/T13 (ảnh AI/ghép ảnh), T14/T15 (notify_agency_admin rút gọn / update_content_state) — agent CHỈ được gọi đúng tool trong danh sách này, không query DB thẳng</t>
  </si>
  <si>
    <t xml:space="preserve">MVP-Scope v3.4 mục 4</t>
  </si>
  <si>
    <t xml:space="preserve">Cấu hình sao lưu (backup) tự động hàng ngày</t>
  </si>
  <si>
    <t xml:space="preserve">Phase 1 – Bước 3: A01 Orchestrator</t>
  </si>
  <si>
    <t xml:space="preserve">Xây content_item_state_log + tool T15 update_content_state để từng agent tự ghi state bước mình vừa xong</t>
  </si>
  <si>
    <t xml:space="preserve">Business Rule 6 - tránh 2 nơi cùng ghi 1 transition, race condition</t>
  </si>
  <si>
    <t xml:space="preserve">Định nghĩa &amp; wire đủ 10 trigger Active cho A01: beat_weekly, strategy_gate_approved(S2), strategy_gate_approved(S3), d01_complete, d02_complete(visual_ready), asset_submitted, asset_request_expired, eval_failed(còn retry), eval_failed(hard fail/hết lượt), content_gate_approved</t>
  </si>
  <si>
    <t xml:space="preserve">Logic Agent (AI)</t>
  </si>
  <si>
    <t xml:space="preserve">MVP-Scope v3.4 mục 1a - bảng Trigger Active vs Deferred</t>
  </si>
  <si>
    <t xml:space="preserve">Giữ tên nhưng KHÔNG wire handler cho 5 trigger Deferred: campaign_created/campaign_ended (Phase 5), publish_due (Phase 3), analytics_due (Phase 4), recommendation_done (Phase 4), direct_assign (Phase 5)</t>
  </si>
  <si>
    <t xml:space="preserve">Phase sau chỉ cần cắm thêm handler, không viết lại module</t>
  </si>
  <si>
    <t xml:space="preserve">Xây wake_reason enum 4 giá trị, dùng ngay cả 4 từ MVP: scheduled / task_assigned / manual / retry</t>
  </si>
  <si>
    <t xml:space="preserve">Xây Celery Beat job check_asset_request_expiry (chạy mỗi vài giờ), phát hiện asset_request quá hạn</t>
  </si>
  <si>
    <t xml:space="preserve">[Business Rule 1] Precheck trước mọi trigger: chỉ cần clients.is_active (bỏ check quota tổng 12 agent — MVP 1 client 6 agent chưa cần)</t>
  </si>
  <si>
    <t xml:space="preserve">[Business Rule 2] Không check Campaign — MVP luôn chạy Mode B, không có nhánh B01</t>
  </si>
  <si>
    <t xml:space="preserve">[Business Rule 3] Concurrent cycle: chỉ 1 loại cycle (weekly) — không tạo cycle mới nếu cycle hiện tại chưa qua khỏi content_production</t>
  </si>
  <si>
    <t xml:space="preserve">[Business Rule 4] Xây bảng retry-routing đọc failed_criteria từ E01: brand_voice/content_accuracy/platform_fit/pillar_relevance/originality → route D01; visual_asset_fit/image_design_quality/mobile_readability → route D02; cả 2 nhóm cùng lúc → D01 trước, D02 sau</t>
  </si>
  <si>
    <t xml:space="preserve">Logic quan trọng nhất của A01 MVP</t>
  </si>
  <si>
    <t xml:space="preserve">[Business Rule 5] eval_retry_count CHỈ tăng khi E01 đã chạy xong và trả score dưới ngưỡng — Celery retry do lỗi hạ tầng (wake_reason='retry') KHÔNG tăng counter này</t>
  </si>
  <si>
    <t xml:space="preserve">Carry-over AC-WF-20 gốc PRD - tránh reject oan do lỗi mạng</t>
  </si>
  <si>
    <t xml:space="preserve">[Business Rule 6] A01 CHỈ đọc state mới nhất để quyết định dispatch bước kế tiếp — KHÔNG tự ghi state thay agent</t>
  </si>
  <si>
    <t xml:space="preserve">Xử lý trigger asset_request_expired: set asset_blocked + notify_agency_admin, KHÔNG tự dùng ảnh AI/fallback, KHÔNG tự reject</t>
  </si>
  <si>
    <t xml:space="preserve">AC-WF-21</t>
  </si>
  <si>
    <t xml:space="preserve">Xây DispatchInstruction schema: task_name, payload (client_id/content_item_id/wake_reason/context_packet), idempotency_key dạng client_id:cycle_id:agent_code:content_item_id:attempt</t>
  </si>
  <si>
    <t xml:space="preserve">Failure Behavior: Dispatch fail → retry 2 lần → ghi task_logs + Telegram notify Agency Admin</t>
  </si>
  <si>
    <t xml:space="preserve">MVP CHƯA có DLQ replay UI (dời Phase 3) — dùng nút "Chạy lại" thủ công (wake_reason='manual')</t>
  </si>
  <si>
    <t xml:space="preserve">Cấu hình model tier cho A01: Power</t>
  </si>
  <si>
    <t xml:space="preserve">Kiểm thử: mô phỏng đủ 10 trigger active, xác nhận A01 dispatch đúng agent + đúng payload cho từng trigger</t>
  </si>
  <si>
    <t xml:space="preserve">Phase 1 – Bước 4: Context Packet MVP + P01-lite + Observability</t>
  </si>
  <si>
    <t xml:space="preserve">Viết hàm build_context_packet_mvp(client_id, agent_code, wake_reason, task_context) trả đúng 4 field: identity, episodic, assignments, wake_reason</t>
  </si>
  <si>
    <t xml:space="preserve">MVP-Scope v3.4 mục 1b - 4/7 field so với bản gốc</t>
  </si>
  <si>
    <t xml:space="preserve">identity = load_agent_config: gộp persona tĩnh + brand voice form ngắn (B2) vào 1 field, KHÔNG tách brand_memory riêng (form quá nhỏ để cần RAG)</t>
  </si>
  <si>
    <t xml:space="preserve">episodic = recall_episodic_memory_mvp(top_k=5): lấy 5 bản ghi gần nhất theo thời gian (recency)</t>
  </si>
  <si>
    <t xml:space="preserve">Mitigation rủi ro recall: LUÔN kèm thêm mọi bản ghi có human_feedback khác rỗng trong 30 ngày gần nhất (không giới hạn top-5), cộng với 5 bản ghi gần nhất</t>
  </si>
  <si>
    <t xml:space="preserve">Tránh mất bài học quan trọng (vd reject nặng) chỉ vì nó không phải bản ghi mới nhất</t>
  </si>
  <si>
    <t xml:space="preserve">Đặt tên hàm hậu tố _mvp để Phase 5 chỉ cần viết build_context_packet() đầy đủ thay thế, agent code không cần đổi cách gọi</t>
  </si>
  <si>
    <t xml:space="preserve">[P01-lite] Trigger: content_gate_approved (có client_edited_caption) HOẶC content_rejected (có reject_reason + feedback_text)</t>
  </si>
  <si>
    <t xml:space="preserve">MVP-Scope v3.4 mục 1c</t>
  </si>
  <si>
    <t xml:space="preserve">[P01-lite] Upsert vào đúng row agent_memory (tìm theo content_item_id nếu có bản ghi cũ, hoặc insert mới), ghi human_feedback = nội dung sửa/lý do reject</t>
  </si>
  <si>
    <t xml:space="preserve">[P01-lite] KHÔNG làm: không tạo learning packet machine-readable, không ghi performance_patterns, không tự động cảnh báo lặp lỗi nhiều lần</t>
  </si>
  <si>
    <t xml:space="preserve">Agency Admin tự đọc agent_memory qua Internal App nếu nghi lặp lỗi</t>
  </si>
  <si>
    <t xml:space="preserve">[Observability] Tạo bảng task_logs(id, client_id, agent_code, task_type, model_used, tokens_in, tokens_out, latency_ms, status, eval_score, wake_reason, created_at)</t>
  </si>
  <si>
    <t xml:space="preserve">MVP-Scope v3.4 mục 1d - giữ đúng tên field như Observability Contract gốc, sau này bật Langfuse thật chỉ cần đổi nơi ghi log</t>
  </si>
  <si>
    <t xml:space="preserve">[Observability] Mỗi agent task (kể cả A01) tự ghi 1 dòng vào task_logs sau khi chạy xong</t>
  </si>
  <si>
    <t xml:space="preserve">[Observability] Màn hình Internal App: list task_logs, filter theo content_item_id / agent_code</t>
  </si>
  <si>
    <t xml:space="preserve">Giao diện - Internal App</t>
  </si>
  <si>
    <t xml:space="preserve">Đủ để Trường/Thuận tự tra sự cố không cần hỏi Antigravity đọc code</t>
  </si>
  <si>
    <t xml:space="preserve">Phase 1 – Bước 5: 5 Agent nội dung + FSM/Retry</t>
  </si>
  <si>
    <t xml:space="preserve">Định nghĩa đầy đủ 13 trạng thái vòng đời bài đăng và các đường chuyển hợp lệ</t>
  </si>
  <si>
    <t xml:space="preserve">workflow_cycles rút gọn còn 2 phase: strategy → content_production → done (không publishing/analytics vì đăng tay, không phân tích tự động)</t>
  </si>
  <si>
    <t xml:space="preserve">[B02] Agent tự nghiên cứu &amp; đề xuất trụ nội dung hàng tuần dựa trên thương hiệu, lịch sử pillar, hiệu quả tuần trước</t>
  </si>
  <si>
    <t xml:space="preserve">Model tier: Standard/Power tuỳ ngân sách</t>
  </si>
  <si>
    <t xml:space="preserve">[B02] Xử lý khách hàng mới chưa có dữ liệu lịch sử (cold start) — vẫn tạo pillar hợp lý</t>
  </si>
  <si>
    <t xml:space="preserve">[B02] Luôn kèm giải thích lý do chọn pillar, không copy nguyên tuần trước mà không có lý do</t>
  </si>
  <si>
    <t xml:space="preserve">[B02] Ghi kết quả pillar, A01 nhận trigger strategy_gate_approved chuyển bài sang chờ duyệt (Gate S2)</t>
  </si>
  <si>
    <t xml:space="preserve">Màn hình Cổng duyệt S2 — Duyệt Trụ Nội Dung: xem, sửa trực tiếp (thêm/bớt/đổi tỷ trọng), duyệt/từ chối</t>
  </si>
  <si>
    <t xml:space="preserve">Quy trình duyệt</t>
  </si>
  <si>
    <t xml:space="preserve">[B03] Agent lập lịch đăng bài cụ thể theo ngày/platform, dựa trên pillar đã duyệt + tần suất + khung giờ ưa thích</t>
  </si>
  <si>
    <t xml:space="preserve">Model tier: Standard</t>
  </si>
  <si>
    <t xml:space="preserve">[B03] Không trùng khung giờ cùng platform; tỷ trọng pillar khớp đã duyệt (sai lệch tối đa 10%)</t>
  </si>
  <si>
    <t xml:space="preserve">Màn hình Cổng duyệt S3 — Duyệt Kế Hoạch Nội Dung: xem lịch đăng, thêm/bớt bài, đổi ngày/góc nhìn</t>
  </si>
  <si>
    <t xml:space="preserve">[D01] Agent viết caption riêng từng platform (FB/IG khác độ dài, cách trình bày), kèm hashtag, kèm CTA</t>
  </si>
  <si>
    <t xml:space="preserve">[D01] Agent tự viết kèm image_brief bắt buộc: ảnh thật hay AI, tag ảnh cần tìm, overlay/chữ trên ảnh, tỷ lệ khung theo platform</t>
  </si>
  <si>
    <t xml:space="preserve">Bắt buộc có — D02 phụ thuộc trực tiếp field này</t>
  </si>
  <si>
    <t xml:space="preserve">[D01] Không dùng từ/cụm từ bị cấm trong brand config; không lặp kiểu câu mở đầu quá 3 lần/tháng</t>
  </si>
  <si>
    <t xml:space="preserve">[D01] Đọc 5 caption gần nhất (đạt + bị từ chối kèm lý do) trước khi viết bài mới</t>
  </si>
  <si>
    <t xml:space="preserve">Lấy qua field episodic của Context Packet MVP</t>
  </si>
  <si>
    <t xml:space="preserve">A01 nhận trigger d01_complete → dispatch D02 (KHÔNG chạy song song với D01)</t>
  </si>
  <si>
    <t xml:space="preserve">[D02] Agent tìm/tạo/ghép ảnh cho bài viết, đọc caption + image_brief từ D01</t>
  </si>
  <si>
    <t xml:space="preserve">[D02] Business rule cốt lõi: nội dung cần ảnh thật (sản phẩm/quán/con người) → bắt buộc dùng ảnh thật từ thư viện, KHÔNG tự ý tạo ảnh AI thay thế</t>
  </si>
  <si>
    <t xml:space="preserve">[D02] Không tìm được ảnh thật phù hợp → tạo asset_request, A01 chuyển bài sang waiting_asset — KHÔNG tính là lỗi</t>
  </si>
  <si>
    <t xml:space="preserve">[D02] Loại nội dung cho phép (poster/meme/banner không có sản phẩm) → được dùng AI tạo ảnh hoàn toàn</t>
  </si>
  <si>
    <t xml:space="preserve">[D02] Luôn xuất đúng tỷ lệ khung ảnh theo platform mà D01 đã chỉ định</t>
  </si>
  <si>
    <t xml:space="preserve">A01 nhận trigger asset_submitted → dispatch LẠI D02 (không phải D01, vì caption không đổi)</t>
  </si>
  <si>
    <t xml:space="preserve">A01 nhận trigger d02_complete (visual_ready) → dispatch E01</t>
  </si>
  <si>
    <t xml:space="preserve">[E01] Agent chấm điểm caption (thang 10) và ảnh (thang 5) trước khi đưa cho con người duyệt</t>
  </si>
  <si>
    <t xml:space="preserve">[E01] Tiêu chí chấm caption: tông giọng, thông tin chính xác, đúng định dạng platform, đúng chủ đề/góc nhìn, không lặp nội dung cũ</t>
  </si>
  <si>
    <t xml:space="preserve">[E01] Tiêu chí chấm ảnh: đúng sản phẩm/bối cảnh, bố cục/màu/mood hợp thương hiệu, chữ đọc được trên mobile</t>
  </si>
  <si>
    <t xml:space="preserve">[E01] Áp dụng ngưỡng: Caption≥7.0 VÀ Visual≥3.5 → pass; 5.0-6.9 hoặc 2.5-3.4 → retry; &lt;5.0 hoặc &lt;2.5 → hard fail</t>
  </si>
  <si>
    <t xml:space="preserve">[E01] Trả về failed_criteria + retry_allowed cho A01 route retry đúng agent theo bảng ở Bước 3 (E01 KHÔNG tự route)</t>
  </si>
  <si>
    <t xml:space="preserve">[E01] TUYỆT ĐỐI không được gọi khi bài đang waiting_asset — A01 biết trạng thái này thì không dispatch E01</t>
  </si>
  <si>
    <t xml:space="preserve">[E01] Điểm số KHÔNG hiển thị cho chủ quán — chỉ Agency Admin xem qua task_logs / Internal App</t>
  </si>
  <si>
    <t xml:space="preserve">Màn hình Duyệt bài (Content Approval Gate): caption cuối + ảnh cuối + giờ đăng, xem trước dạng giống thật FB/IG</t>
  </si>
  <si>
    <t xml:space="preserve">4 hành động: Duyệt / Duyệt kèm sửa giờ đăng / Sửa caption rồi duyệt / Từ chối kèm lý do (danh sách có sẵn)</t>
  </si>
  <si>
    <t xml:space="preserve">Sửa caption → lưu bản mới, kích hoạt P01-lite ghi bài học cho D01</t>
  </si>
  <si>
    <t xml:space="preserve">Sửa giờ đăng → cập nhật giờ mới trong hệ thống</t>
  </si>
  <si>
    <t xml:space="preserve">Sau khi đã duyệt → khoá caption/giờ đăng lại, chỉ Agency Admin mở lại được (có ghi log)</t>
  </si>
  <si>
    <t xml:space="preserve">Phase 1 – Bước 6: Portal + Internal App</t>
  </si>
  <si>
    <t xml:space="preserve">Trang Tổng quan (Dashboard): chu kỳ hiện tại đang ở bước nào, có gì đang chờ duyệt</t>
  </si>
  <si>
    <t xml:space="preserve">Giao diện - Portal</t>
  </si>
  <si>
    <t xml:space="preserve">Trang "Kế hoạch": xem &amp; duyệt Trụ nội dung (S2) và Kế hoạch nội dung (S3)</t>
  </si>
  <si>
    <t xml:space="preserve">Trang "Duyệt bài" (Content Approval Gate, ẩn điểm E01)</t>
  </si>
  <si>
    <t xml:space="preserve">Trang "Thư viện ảnh": xem ảnh đã upload, lọc theo tag, xem yêu cầu xin ảnh đang chờ</t>
  </si>
  <si>
    <t xml:space="preserve">Tag filter đơn giản, KHÔNG semantic search (khác PRD Tầng 4 đầy đủ)</t>
  </si>
  <si>
    <t xml:space="preserve">Màn hình upload ảnh tối ưu điện thoại: chụp trực tiếp hoặc chọn từ máy, ghi chú riêng từng ảnh</t>
  </si>
  <si>
    <t xml:space="preserve">Trang "Cài đặt": form ngắn nhập thông tin thương hiệu (brand voice B2) — điền &amp; Lưu, không cần biết kỹ thuật</t>
  </si>
  <si>
    <t xml:space="preserve">No-code</t>
  </si>
  <si>
    <t xml:space="preserve">Nút "Đánh dấu đã đăng": sau khi tự đăng tay lên FB/IG, bấm để đóng bài</t>
  </si>
  <si>
    <t xml:space="preserve">Đăng nhập bằng email/mật khẩu (Supabase Auth), quên mật khẩu qua email</t>
  </si>
  <si>
    <t xml:space="preserve">Phân quyền hiển thị: client_staff không thấy nút Duyệt ở bất kỳ đâu; chỉ client_admin thấy</t>
  </si>
  <si>
    <t xml:space="preserve">Trang Onboarding khách hàng mới: nhập tên, ngành, platform, timezone</t>
  </si>
  <si>
    <t xml:space="preserve">Trang danh sách bài viết theo từng khách hàng, lọc theo trạng thái FSM</t>
  </si>
  <si>
    <t xml:space="preserve">Nút "Chạy lại" cho 1 content item: gọi A01 với wake_reason='manual', A01 tự dispatch đúng agent theo state hiện tại</t>
  </si>
  <si>
    <t xml:space="preserve">Thay DLQ replay UI phức tạp, dời Phase 3</t>
  </si>
  <si>
    <t xml:space="preserve">Chức năng tạm dừng/kích hoạt lại 1 khách hàng (is_active)</t>
  </si>
  <si>
    <t xml:space="preserve">Phase 1 – Bước 7: Hardening + Pilot thật</t>
  </si>
  <si>
    <t xml:space="preserve">Kiểm thử toàn bộ luồng end-to-end: tạo pillar → lên kế hoạch → viết caption → làm ảnh → chấm điểm → duyệt → đánh dấu đã đăng</t>
  </si>
  <si>
    <t xml:space="preserve">Kiểm thử các trường hợp biên: hết ngân sách AI, thiếu ảnh, đánh giá không đạt 3 lần, khách hàng bị tạm dừng, asset_request hết hạn</t>
  </si>
  <si>
    <t xml:space="preserve">Chuẩn bị dữ liệu mẫu cho Bardinh Coffee: thông tin thương hiệu, vài ảnh mẫu, caption mẫu</t>
  </si>
  <si>
    <t xml:space="preserve">Setup Onboarding thật cho Bardinh Coffee trên hệ thống</t>
  </si>
  <si>
    <t xml:space="preserve">Chạy thử chu kỳ tuần đầu tiên có giám sát chặt (theo dõi từng bước)</t>
  </si>
  <si>
    <t xml:space="preserve">Thu thập lỗi phát sinh từ chu kỳ 1, sửa nhanh</t>
  </si>
  <si>
    <t xml:space="preserve">Chạy chu kỳ tuần thứ 2 — verify agent_memory Recall thật: cycle 2 dùng được bài học cycle 1</t>
  </si>
  <si>
    <t xml:space="preserve">Xác nhận không có worker/task bị treo quá 24h trong suốt 2 chu kỳ</t>
  </si>
  <si>
    <t xml:space="preserve">Trường &amp; Thuận đánh giá chất lượng caption/ảnh có thực sự dùng được không (không chỉ "chạy được")</t>
  </si>
  <si>
    <t xml:space="preserve">Viết ghi chú diễn giải kết quả pilot: nếu chạy tốt, kết luận đúng chỉ là "vòng lặp content→approve→đăng hoạt động tốt với 1 client" — KHÔNG phải "hệ thống cần Hindsight/RAG mới hoạt động"</t>
  </si>
  <si>
    <t xml:space="preserve">MVP-Scope v3.4 mục 1e - tránh kết luận sai khi quyết định mở Phase 5</t>
  </si>
  <si>
    <t xml:space="preserve">Tổng kết đạt tiêu chí Pass Phase 1 → quyết định mở Phase 2</t>
  </si>
  <si>
    <t xml:space="preserve">Xem sheet Tổng quan - Tiêu chí Pass</t>
  </si>
  <si>
    <t xml:space="preserve">Phase 2 – Vận hành pilot &amp; tinh chỉnh</t>
  </si>
  <si>
    <t xml:space="preserve">Vận hành đăng tay liên tục hàng tuần cho Bardinh Coffee, theo dõi sát</t>
  </si>
  <si>
    <t xml:space="preserve">Xuyên suốt Phase 2 (~4 tuần)</t>
  </si>
  <si>
    <t xml:space="preserve">Thu thập &amp; tinh chỉnh prompt B02 (chọn pillar) dựa trên phản hồi thật</t>
  </si>
  <si>
    <t xml:space="preserve">Thu thập &amp; tinh chỉnh prompt B03 (lên kế hoạch)</t>
  </si>
  <si>
    <t xml:space="preserve">Thu thập &amp; tinh chỉnh prompt D01 (viết caption)</t>
  </si>
  <si>
    <t xml:space="preserve">Thu thập &amp; tinh chỉnh prompt D02 (làm ảnh)</t>
  </si>
  <si>
    <t xml:space="preserve">Đánh giá lại ngưỡng đạt/không đạt của E01 (7.0/3.5) — có khớp đánh giá thật của con người không, điều chỉnh nếu cần</t>
  </si>
  <si>
    <t xml:space="preserve">Rà soát &amp; mở rộng hệ thống tag ảnh trong thư viện nếu lọc tag không tìm đúng ảnh</t>
  </si>
  <si>
    <t xml:space="preserve">Theo dõi &amp; báo cáo: % chu kỳ chạy trơn tru không lỗi trong 4 tuần liên tục</t>
  </si>
  <si>
    <t xml:space="preserve">KR1-rút gọn 🔶4 tuần</t>
  </si>
  <si>
    <t xml:space="preserve">Theo dõi &amp; báo cáo: % bài được duyệt ngay lần đầu (mục tiêu ≥70%)</t>
  </si>
  <si>
    <t xml:space="preserve">KR2 🔶70%</t>
  </si>
  <si>
    <t xml:space="preserve">Theo dõi &amp; báo cáo: thời gian từ tạo nội dung đến khi được duyệt (mục tiêu ≤4 giờ)</t>
  </si>
  <si>
    <t xml:space="preserve">KR4-rút gọn 🔶4 giờ</t>
  </si>
  <si>
    <t xml:space="preserve">Bắt đầu nộp hồ sơ Meta Business Verification (xác minh doanh nghiệp) — chạy song song, không chặn Phase 2</t>
  </si>
  <si>
    <t xml:space="preserve">Tích hợp bên thứ 3</t>
  </si>
  <si>
    <t xml:space="preserve">Bắt đầu nộp hồ sơ Meta App Review (xin quyền đăng bài tự động) — chạy song song</t>
  </si>
  <si>
    <t xml:space="preserve">Đo thời gian đăng tay thực tế mỗi tuần, tính xem có phải nút thắt cổ chai thật theo công thức đã định</t>
  </si>
  <si>
    <t xml:space="preserve">Công thức ở Phase-Roadmap Phase 2</t>
  </si>
  <si>
    <t xml:space="preserve">Ra quyết định nhánh rẽ: nếu đăng tay là bottleneck thật → ưu tiên Phase 3; nếu chưa → ưu tiên Phase 6 trước</t>
  </si>
  <si>
    <t xml:space="preserve">Phase 3 – Tự động đăng bài (Meta)</t>
  </si>
  <si>
    <t xml:space="preserve">Xây dựng luồng kết nối tài khoản Meta (OAuth Connect) — bấm kết nối, xin đúng quyền cần thiết</t>
  </si>
  <si>
    <t xml:space="preserve">Lưu trữ token kết nối an toàn (mã hoá), cơ chế tự làm mới trước khi hết hạn</t>
  </si>
  <si>
    <t xml:space="preserve">Làm mới khi còn ≤7 ngày</t>
  </si>
  <si>
    <t xml:space="preserve">Xây dựng cơ chế phát hiện khi bị thu hồi quyền kết nối, báo ngay Agency Admin</t>
  </si>
  <si>
    <t xml:space="preserve">[F01] Xây agent tự động đăng bài đã duyệt đúng giờ đã lên lịch, cho cả Facebook và Instagram (2 việc riêng, lỗi 1 cái không huỷ cái kia)</t>
  </si>
  <si>
    <t xml:space="preserve">Xử lý hashtag đặt ở comment đầu tiên (nếu khách hàng chọn kiểu này)</t>
  </si>
  <si>
    <t xml:space="preserve">Xử lý khi đổi giờ đăng: huỷ lịch cũ, tạo lịch mới đúng giờ</t>
  </si>
  <si>
    <t xml:space="preserve">Xây dựng xử lý lỗi khi đăng thất bại (hết hạn token, trang bị khoá, vi phạm chính sách) — thử lại theo giãn cách, báo Agency Admin nếu vẫn lỗi</t>
  </si>
  <si>
    <t xml:space="preserve">Bỏ nút "Đánh dấu đã đăng" thủ công, thay bằng trạng thái tự động "đã đăng" (publishing → published)</t>
  </si>
  <si>
    <t xml:space="preserve">Thêm lại trạng thái "đang đăng" (publishing) vào FSM + workflow_cycles</t>
  </si>
  <si>
    <t xml:space="preserve">Xây dựng Hàng đợi lỗi thật (Dead Letter Queue) cho giai đoạn chạy tự động không người canh</t>
  </si>
  <si>
    <t xml:space="preserve">Automation chạy nền không người canh trực tiếp</t>
  </si>
  <si>
    <t xml:space="preserve">Xây màn hình Internal App: xem trạng thái kết nối Meta từng khách hàng, làm mới token thủ công</t>
  </si>
  <si>
    <t xml:space="preserve">Xây màn hình Internal App: xem &amp; xử lý lại lỗi trong hàng đợi (chạy lại / đóng lỗi kèm ghi chú)</t>
  </si>
  <si>
    <t xml:space="preserve">Gửi xác nhận cho chủ quán sau khi đăng thành công: link bài viết thật + ảnh đã dùng</t>
  </si>
  <si>
    <t xml:space="preserve">Theo dõi giới hạn tần suất gọi API Meta, ưu tiên việc đăng bài hơn lấy số liệu khi gần chạm giới hạn</t>
  </si>
  <si>
    <t xml:space="preserve">Đo &amp; xác nhận: luồng kết nối Meta hoàn thành ≤5 phút</t>
  </si>
  <si>
    <t xml:space="preserve">KR3</t>
  </si>
  <si>
    <t xml:space="preserve">Đo &amp; xác nhận: tỷ lệ đăng bài thành công không cần can thiệp tay đạt mục tiêu</t>
  </si>
  <si>
    <t xml:space="preserve">Phase 4 – Phân tích số liệu &amp; học hỏi</t>
  </si>
  <si>
    <t xml:space="preserve">[G01] Xây agent thu thập số liệu Meta cho bài đã đăng được 7 ngày (reach, thích, bình luận, chia sẻ, lưu, xem video...)</t>
  </si>
  <si>
    <t xml:space="preserve">[G01] Xử lý trường hợp không lấy được số liệu do giới hạn quyền — ghi "không có dữ liệu" thay vì đoán bằng 0</t>
  </si>
  <si>
    <t xml:space="preserve">[G01] Tự tính chỉ số tương tác (engagement rate) theo công thức chuẩn thống nhất</t>
  </si>
  <si>
    <t xml:space="preserve">[G02] Xây agent phân tích mô tả: so sánh theo platform, loại nội dung, pillar, khung giờ, kiểu mở đầu</t>
  </si>
  <si>
    <t xml:space="preserve">[G03] Xây agent phân tích chẩn đoán: so tuần này với 4-8 tuần trước, tìm nguyên nhân tăng/giảm, phát hiện bài bất thường</t>
  </si>
  <si>
    <t xml:space="preserve">[G04] Xây agent đưa đề xuất cụ thể cho tuần sau (loại nội dung, giờ đăng, ảnh cần chụp thêm)</t>
  </si>
  <si>
    <t xml:space="preserve">[G04] Tạo báo cáo dễ hiểu cho chủ quán (không thuật ngữ kỹ thuật) + gói dữ liệu học máy nội bộ</t>
  </si>
  <si>
    <t xml:space="preserve">Xây dựng Cổng "Xác nhận đã đọc báo cáo": chủ quán xác nhận/góp ý/hỏi lại</t>
  </si>
  <si>
    <t xml:space="preserve">Xây dựng luồng "hỏi lại" báo cáo — tạo thread bình luận, Agency Admin trả lời, không tạo chu kỳ mới</t>
  </si>
  <si>
    <t xml:space="preserve">[P01 - bản đầy đủ] Xây pipeline học từ phản hồi: đọc mọi chỉnh sửa/từ chối + báo cáo phân tích, chuyển thành bài học cụ thể, ghi ngược vào trí nhớ đúng agent</t>
  </si>
  <si>
    <t xml:space="preserve">Nâng cấp từ P01-lite (Phase 1) lên đầy đủ</t>
  </si>
  <si>
    <t xml:space="preserve">Nâng cấp bảng trí nhớ để lưu thêm "mẫu hình hiệu quả" (performance pattern) theo pillar/giờ/loại nội dung</t>
  </si>
  <si>
    <t xml:space="preserve">Xây trang Portal hiển thị báo cáo phân tích dạng đọc được (không phải số liệu thô)</t>
  </si>
  <si>
    <t xml:space="preserve">Theo dõi chi phí AI phát sinh riêng cho việc phân tích định kỳ</t>
  </si>
  <si>
    <t xml:space="preserve">Đo &amp; xác nhận: vòng lặp đầy đủ tạo→duyệt→đăng→phân tích→học chạy liên tục không cần thao tác tay ngoài duyệt bài</t>
  </si>
  <si>
    <t xml:space="preserve">Đạt KR1 gốc</t>
  </si>
  <si>
    <t xml:space="preserve">Đo &amp; xác nhận: đề xuất của G04 có cải thiện chất lượng nội dung chu kỳ sau không (so % duyệt-ngay-lần-đầu trước/sau)</t>
  </si>
  <si>
    <t xml:space="preserve">Phase 5 – Chiến lược đầy đủ (B01 + RAG)</t>
  </si>
  <si>
    <t xml:space="preserve">[B01] Xây agent tạo kế hoạch truyền thông tổng thể (IMC Plan) khi có chiến dịch/sự kiện</t>
  </si>
  <si>
    <t xml:space="preserve">[B01] Đảm bảo kế hoạch gồm đủ 7 phần chuẩn ngành (bối cảnh, mục tiêu, đối tượng &amp; insight, ý tưởng lớn, kế hoạch theo giai đoạn, ngân sách, chỉ số đo lường)</t>
  </si>
  <si>
    <t xml:space="preserve">Xây dựng Cổng duyệt S1 — IMC Plan: đọc, sửa trực tiếp trên văn bản, bôi đậm, bình luận từng đoạn, duyệt</t>
  </si>
  <si>
    <t xml:space="preserve">Xây dựng trang quản lý Chiến dịch/Sự kiện: tạo mới, xem danh sách, kết thúc sớm</t>
  </si>
  <si>
    <t xml:space="preserve">Khi có chiến dịch → B02 đọc IMC Plan để sáng tạo pillar bám sát chiến dịch (thêm nhánh Mode A, ngoài Mode B mặc định)</t>
  </si>
  <si>
    <t xml:space="preserve">Khôi phục kho tài liệu thương hiệu dài: upload PDF/Word/PowerPoint + tự động trích xuất nội dung (Docling+Chonkie)</t>
  </si>
  <si>
    <t xml:space="preserve">Xây dựng tìm kiếm ngữ nghĩa thật cho thư viện thương hiệu (ChromaDB, thay form ngắn hiện tại)</t>
  </si>
  <si>
    <t xml:space="preserve">Nâng cấp tìm ảnh trong thư viện từ lọc theo tag sang tìm theo ngữ nghĩa (khi thư viện đã lớn)</t>
  </si>
  <si>
    <t xml:space="preserve">Xây dựng trình soạn thảo chiến lược (Strategy Co-pilot Editor) đầy đủ cho cả 3 cổng duyệt S1/S2/S3</t>
  </si>
  <si>
    <t xml:space="preserve">Xây dựng chức năng khách hàng tự giao việc trực tiếp cho từng agent (Direct Assign, bỏ qua A01), vẫn phải qua Evaluator</t>
  </si>
  <si>
    <t xml:space="preserve">Cân nhắc &amp; quyết định: có build lại giao diện Portal theo hướng Pixel Office/Kanban/Content Hub (PRD v1.2 Tầng 4) ở Phase này hay chưa</t>
  </si>
  <si>
    <t xml:space="preserve">Liên kết với quyết định đã ghi ở Phase 0</t>
  </si>
  <si>
    <t xml:space="preserve">Đo &amp; xác nhận: B01 tạo IMC Plan đúng thương hiệu, qua cổng duyệt S1 không cần sửa nhiều</t>
  </si>
  <si>
    <t xml:space="preserve">Đo &amp; xác nhận: tìm kiếm ngữ nghĩa trả kết quả đúng ngữ cảnh khi test với tài liệu dài thật</t>
  </si>
  <si>
    <t xml:space="preserve">Phase 6 – Mở rộng nhiều khách hàng</t>
  </si>
  <si>
    <t xml:space="preserve">Xây màn hình quản lý nhà cung cấp AI &amp; API key theo từng khách hàng (bật/tắt provider, nhập &amp; test key)</t>
  </si>
  <si>
    <t xml:space="preserve">Xây Dashboard theo dõi chi phí AI &amp; ngân sách theo từng khách hàng, từng agent</t>
  </si>
  <si>
    <t xml:space="preserve">Xây dựng kết nối Telegram Bot: ghép cặp tài khoản, nhận thông báo, gửi ảnh trực tiếp qua chat</t>
  </si>
  <si>
    <t xml:space="preserve">Cải thiện luồng Onboarding khách hàng mới — rút ngắn thời gian setup khi có nhiều khách hàng cùng lúc</t>
  </si>
  <si>
    <t xml:space="preserve">Xây dựng Trung tâm thông báo đầy đủ kênh (Portal + Telegram)</t>
  </si>
  <si>
    <t xml:space="preserve">Đảm bảo hàng đợi lỗi (DLQ) chịu tải tốt khi nhiều khách hàng chạy song song</t>
  </si>
  <si>
    <t xml:space="preserve">Onboard thêm 2-5 khách hàng SME F&amp;B cùng ngành</t>
  </si>
  <si>
    <t xml:space="preserve">Validate trước khi đa dạng hoá ngành</t>
  </si>
  <si>
    <t xml:space="preserve">Theo dõi ngưỡng hạ tầng: Supabase free tier và ChromaDB local chịu tải bao nhiêu khách hàng</t>
  </si>
  <si>
    <t xml:space="preserve">Đo &amp; xác nhận: chạy ổn định 3-5 khách hàng song song mà không cần thêm người vận hành</t>
  </si>
  <si>
    <t xml:space="preserve">Đo &amp; xác nhận: chi phí vận hành thêm 1 khách hàng mới ở mức thấp</t>
  </si>
  <si>
    <t xml:space="preserve">Phase 7 – Đa dạng ngành &amp; nâng cấp trí nhớ</t>
  </si>
  <si>
    <t xml:space="preserve">Đánh giá nhu cầu nâng cấp bảng trí nhớ đơn giản lên hệ thống trí nhớ thông minh hơn (Hindsight) nếu dữ liệu đã đủ lớn</t>
  </si>
  <si>
    <t xml:space="preserve">Nếu nâng cấp: xây sidecar trí nhớ mới, di chuyển dữ liệu, đảm bảo cách ly dữ liệu từng khách hàng</t>
  </si>
  <si>
    <t xml:space="preserve">Nghiên cứu mở rộng sang ngành SME dịch vụ khác ngoài F&amp;B</t>
  </si>
  <si>
    <t xml:space="preserve">Điều chỉnh quy trình vận hành khi số khách hàng tăng đáng kể (chuẩn hoá hơn thay vì 2 người tự làm hết)</t>
  </si>
  <si>
    <t xml:space="preserve">Phase / Bước</t>
  </si>
  <si>
    <t xml:space="preserve">Số công việc</t>
  </si>
  <si>
    <t xml:space="preserve">Tổng số ngày ước tính</t>
  </si>
  <si>
    <t xml:space="preserve">Tiêu chí Pass (điều kiện mở phase/bước kế tiếp)</t>
  </si>
  <si>
    <t xml:space="preserve">Không có tiêu chí Pass riêng — bước chuẩn bị, xong là chuyển sang Bước 1.</t>
  </si>
  <si>
    <t xml:space="preserve">Không có tiêu chí Pass riêng — gộp vào tiêu chí Pass chung của Phase 1 (xem dòng Phase 1 - TỔNG). Theo MVP-Scope v3.4 mục 6, KHÔNG còn ước lượng theo sprint/tuần, chỉ theo trình tự phụ thuộc.</t>
  </si>
  <si>
    <t xml:space="preserve">Không có tiêu chí Pass riêng — gộp vào tiêu chí Pass chung của Phase 1.</t>
  </si>
  <si>
    <t xml:space="preserve">Phase 1 - TỔNG</t>
  </si>
  <si>
    <t xml:space="preserve">Chạy ≥2 chu kỳ tuần liên tục không cần can thiệp tay ngoài duyệt bài. agent_memory Recall thực sự dùng được bài học chu kỳ trước. Không worker/task treo &gt;24h. Trường/Thuận (không phải Antigravity) xác nhận chất lượng caption/ảnh dùng được thật, không chỉ "chạy được".</t>
  </si>
  <si>
    <t xml:space="preserve">Đạt đủ KR rút gọn (chu kỳ ổn định, % duyệt lần đầu, thời gian duyệt) trong ≥4 tuần liên tục. Xác nhận rõ đăng tay có phải nút thắt cổ chai thật hay chưa, bằng công thức đã định.</t>
  </si>
  <si>
    <t xml:space="preserve">OAuth kết nối ≤5 phút (đo thật). Tỷ lệ đăng bài thành công không cần can thiệp tay đạt mục tiêu. Thời gian tạo→đăng (qua duyệt) đạt mục tiêu.</t>
  </si>
  <si>
    <t xml:space="preserve">Vòng lặp đầy đủ tạo→duyệt→đăng→phân tích→học chạy liên tục nhiều tuần, không thao tác tay ngoài duyệt bài (đạt KR1 gốc). G04 đo được có cải thiện chất lượng content chu kỳ sau không.</t>
  </si>
  <si>
    <t xml:space="preserve">B01 tạo IMC Plan đúng thương hiệu, qua cổng duyệt S1 không cần sửa nhiều. Tìm kiếm ngữ nghĩa trả đúng ngữ cảnh khi test với tài liệu dài thật.</t>
  </si>
  <si>
    <t xml:space="preserve">≥3-5 khách hàng chạy song song ổn định, không cần thêm người vận hành. Chi phí vận hành thêm 1 khách hàng mới ở mức thấp.</t>
  </si>
  <si>
    <t xml:space="preserve">Không có tiêu chí kỹ thuật cứng — đây là quyết định kinh doanh, dựa vào kết quả thật của Phase 6.</t>
  </si>
  <si>
    <t xml:space="preserve">TỔNG CỘNG TOÀN DỰ ÁN</t>
  </si>
  <si>
    <t xml:space="preserve">CÁCH DÙNG FILE NÀY</t>
  </si>
  <si>
    <t xml:space="preserve">• Sheet "Checklist": toàn bộ công việc, chia theo Phase 0 → Bước 1-7 của Phase 1 (đúng trình tự phụ thuộc ở MVP-Scope v3.4 mục 6) → Phase 2-7 (CrewLab-Phase-Roadmap.md).</t>
  </si>
  <si>
    <t xml:space="preserve">• Sheet "Tổng quan": số lượng công việc + tổng số ngày ước tính mỗi Phase/Bước, và Tiêu chí Pass để mở Phase kế tiếp.</t>
  </si>
  <si>
    <t xml:space="preserve">• Điền cột "Bắt đầu" (ngày thật) thì cột "Kết thúc" tự tính theo công thức (Bắt đầu + Thời lượng ước tính).</t>
  </si>
  <si>
    <t xml:space="preserve">• Cột "Thời lượng (ngày)" là ƯỚC LƯỢNG ban đầu để lập kế hoạch — MVP-Scope v3.4 đã chủ động bỏ ước lượng theo sprint/tuần vì tạo cảm giác chắc chắn giả; hãy tự đo tốc độ thật sau khi chạy xong Bước 1-4 rồi mới ước lượng phần còn lại.</t>
  </si>
  <si>
    <t xml:space="preserve">• Cột "Tình trạng" và "Loại yêu cầu" có sẵn dropdown. Dòng sẽ tự tô màu theo Tình trạng.</t>
  </si>
  <si>
    <t xml:space="preserve">• Lọc theo cột "Phase" để xem đúng việc của Bước hiện tại — đó là những gì nên giao cho Antigravity làm trong vài ngày tới. Trong Bước 1-7 của Phase 1, thứ tự các dòng ĐÃ được sắp theo đúng phụ thuộc kỹ thuật (bảng dữ liệu trước, A01 trước, Context Packet trước, rồi mới tới 5 agent nội dung).</t>
  </si>
  <si>
    <t xml:space="preserve">QUAN TRỌNG — PHẠM VI ĐANG BUILD</t>
  </si>
  <si>
    <t xml:space="preserve">Theo AGENTS.md: Phase 1 (Bước 1-7 trong sheet này) là phạm vi ĐANG được phép code thật — 6 agent chính thức: A01 Orchestrator (kiến trúc đầy đủ, 10/15 trigger active) + 5 agent nội dung B02, B03, D01, D02, E01.</t>
  </si>
  <si>
    <t xml:space="preserve">Phase 2 → Phase 7 trong sheet này CHỈ để nhìn thấy toàn cảnh lộ trình và lên kế hoạch — KHÔNG phải việc giao cho Antigravity code ngay.</t>
  </si>
  <si>
    <t xml:space="preserve">Nếu trong lúc làm Phase 1, Antigravity tự nhắc tới ChromaDB / F01 / G01-G04 / B01 / Meta OAuth / Telegram bot / Hindsight thật / Pixel Office-Kanban (toàn bộ nội dung Phase 3-7 và phần PRD v1.2 Tầng 4 nâng cao) → DỪNG LẠI, hỏi lại người, đừng để nó tự build theo bản đầy đủ.</t>
  </si>
  <si>
    <t xml:space="preserve">P01 ở Phase 1 chỉ là bản "P01-lite" (chỉ upsert human_feedback vào agent_memory) — bản P01 đầy đủ (learning packet, performance_patterns) thuộc Phase 4.</t>
  </si>
  <si>
    <t xml:space="preserve">GIẢI THÍCH CỘT "LOẠI YÊU CẦU"</t>
  </si>
  <si>
    <t xml:space="preserve">Quyết định — việc cần Trường/Thuận bàn &amp; chốt (không phải code), thường phải xong trước khi Antigravity code phần liên quan.</t>
  </si>
  <si>
    <t xml:space="preserve">Hạ tầng — setup server, deploy, domain, sao lưu... (DevOps).</t>
  </si>
  <si>
    <t xml:space="preserve">Dữ liệu — thiết kế/tạo bảng trong database, phân quyền dữ liệu, Tool Registry.</t>
  </si>
  <si>
    <t xml:space="preserve">Logic Agent (AI) — phần "bộ não" của A01 hoặc 1 trong 5 agent nội dung: đọc gì, quyết định gì, xuất ra gì, quy tắc nghiệp vụ, trigger/wake_reason/retry-routing.</t>
  </si>
  <si>
    <t xml:space="preserve">Quy trình duyệt — màn hình + luồng cho con người xem/sửa/duyệt/từ chối (HITL Gate).</t>
  </si>
  <si>
    <t xml:space="preserve">Giao diện - Portal — màn hình dành cho khách hàng (chủ quán) dùng.</t>
  </si>
  <si>
    <t xml:space="preserve">Giao diện - Internal App — màn hình dành cho Agency Admin (Trường/Thuận) dùng nội bộ.</t>
  </si>
  <si>
    <t xml:space="preserve">Tích hợp bên thứ 3 — kết nối với hệ thống ngoài (Meta, Telegram...).</t>
  </si>
  <si>
    <t xml:space="preserve">Kiểm thử — chạy thử, đo đạc, xác nhận đạt tiêu chí trước khi coi là xong.</t>
  </si>
  <si>
    <t xml:space="preserve">Vận hành — công việc chạy thật hàng ngày/hàng tuần (không phải code).</t>
  </si>
  <si>
    <t xml:space="preserve">Tài liệu — viết spec, ghi quyết định, cập nhật tài liệu nội bộ.</t>
  </si>
  <si>
    <t xml:space="preserve">GIẢI THÍCH CỘT "TÌNH TRẠNG"</t>
  </si>
  <si>
    <t xml:space="preserve">Chưa bắt đầu (xám/mặc định) — chưa ai động vào.</t>
  </si>
  <si>
    <t xml:space="preserve">Đang làm (vàng) — Antigravity hoặc người đang xử lý.</t>
  </si>
  <si>
    <t xml:space="preserve">Chờ review (xanh dương nhạt) — code xong, đang chờ người còn lại duyệt Pull Request.</t>
  </si>
  <si>
    <t xml:space="preserve">Hoàn thành (xanh lá) — đã merge vào main, đã tự chấm đạt Acceptance Criteria trong spec.</t>
  </si>
  <si>
    <t xml:space="preserve">Bị chặn (đỏ) — đang vướng, cần quyết định hoặc phụ thuộc việc khác chưa xong.</t>
  </si>
  <si>
    <t xml:space="preserve">GỢI Ý DÙNG HÀNG NGÀY / HÀNG TUẦN</t>
  </si>
  <si>
    <t xml:space="preserve">Mỗi sáng: lọc Phase đang làm + Tình trạng = "Chưa bắt đầu" hoặc "Đang làm" → chọn 1-3 dòng đầu tiên theo đúng thứ tự trong sheet → giao cho Antigravity kèm đúng mô tả ở cột Công việc (có thể copy nguyên văn, đã đủ kỹ thuật để nó hiểu).</t>
  </si>
  <si>
    <t xml:space="preserve">Cuối ngày: cập nhật Tình trạng + Tiến độ cho các dòng đã đụng vào, kể cả làm dở.</t>
  </si>
  <si>
    <t xml:space="preserve">Cuối tuần: xem sheet Tổng quan, đối chiếu Tiêu chí Pass để biết Phase/Bước hiện tại đã đủ điều kiện đóng lại chưa.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</si>
</sst>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"/>
    <numFmt numFmtId="167" formatCode="0%"/>
    <numFmt numFmtId="168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F4E78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E1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66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4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" hidden="false" customHeight="true" outlineLevel="0" collapsed="false">
      <c r="A2" s="2" t="n">
        <v>1</v>
      </c>
      <c r="B2" s="3" t="s">
        <v>11</v>
      </c>
      <c r="C2" s="3" t="s">
        <v>12</v>
      </c>
      <c r="D2" s="4"/>
      <c r="E2" s="5"/>
      <c r="F2" s="6" t="str">
        <f aca="false">IF(E2="","",E2+ROUNDUP(G2,0)-1)</f>
        <v/>
      </c>
      <c r="G2" s="7" t="n">
        <v>0.5</v>
      </c>
      <c r="H2" s="3" t="s">
        <v>13</v>
      </c>
      <c r="I2" s="2" t="s">
        <v>14</v>
      </c>
      <c r="J2" s="8" t="n">
        <v>0</v>
      </c>
      <c r="K2" s="3" t="s">
        <v>15</v>
      </c>
    </row>
    <row r="3" customFormat="false" ht="30" hidden="false" customHeight="true" outlineLevel="0" collapsed="false">
      <c r="A3" s="9" t="n">
        <v>2</v>
      </c>
      <c r="B3" s="10" t="s">
        <v>11</v>
      </c>
      <c r="C3" s="10" t="s">
        <v>16</v>
      </c>
      <c r="D3" s="11"/>
      <c r="E3" s="12"/>
      <c r="F3" s="13" t="str">
        <f aca="false">IF(E3="","",E3+ROUNDUP(G3,0)-1)</f>
        <v/>
      </c>
      <c r="G3" s="14" t="n">
        <v>0.5</v>
      </c>
      <c r="H3" s="10" t="s">
        <v>13</v>
      </c>
      <c r="I3" s="9" t="s">
        <v>14</v>
      </c>
      <c r="J3" s="15" t="n">
        <v>0</v>
      </c>
      <c r="K3" s="10" t="s">
        <v>17</v>
      </c>
    </row>
    <row r="4" customFormat="false" ht="30" hidden="false" customHeight="true" outlineLevel="0" collapsed="false">
      <c r="A4" s="9" t="n">
        <v>3</v>
      </c>
      <c r="B4" s="10" t="s">
        <v>11</v>
      </c>
      <c r="C4" s="10" t="s">
        <v>18</v>
      </c>
      <c r="D4" s="11"/>
      <c r="E4" s="12"/>
      <c r="F4" s="13" t="str">
        <f aca="false">IF(E4="","",E4+ROUNDUP(G4,0)-1)</f>
        <v/>
      </c>
      <c r="G4" s="14" t="n">
        <v>0.5</v>
      </c>
      <c r="H4" s="10" t="s">
        <v>13</v>
      </c>
      <c r="I4" s="9" t="s">
        <v>14</v>
      </c>
      <c r="J4" s="15" t="n">
        <v>0</v>
      </c>
      <c r="K4" s="10"/>
    </row>
    <row r="5" customFormat="false" ht="30" hidden="false" customHeight="true" outlineLevel="0" collapsed="false">
      <c r="A5" s="9" t="n">
        <v>4</v>
      </c>
      <c r="B5" s="10" t="s">
        <v>11</v>
      </c>
      <c r="C5" s="10" t="s">
        <v>19</v>
      </c>
      <c r="D5" s="11"/>
      <c r="E5" s="12"/>
      <c r="F5" s="13" t="str">
        <f aca="false">IF(E5="","",E5+ROUNDUP(G5,0)-1)</f>
        <v/>
      </c>
      <c r="G5" s="14" t="n">
        <v>0.5</v>
      </c>
      <c r="H5" s="10" t="s">
        <v>13</v>
      </c>
      <c r="I5" s="9" t="s">
        <v>14</v>
      </c>
      <c r="J5" s="15" t="n">
        <v>0</v>
      </c>
      <c r="K5" s="10" t="s">
        <v>20</v>
      </c>
    </row>
    <row r="6" customFormat="false" ht="30" hidden="false" customHeight="true" outlineLevel="0" collapsed="false">
      <c r="A6" s="9" t="n">
        <v>5</v>
      </c>
      <c r="B6" s="10" t="s">
        <v>11</v>
      </c>
      <c r="C6" s="10" t="s">
        <v>21</v>
      </c>
      <c r="D6" s="11"/>
      <c r="E6" s="12"/>
      <c r="F6" s="13" t="str">
        <f aca="false">IF(E6="","",E6+ROUNDUP(G6,0)-1)</f>
        <v/>
      </c>
      <c r="G6" s="14" t="n">
        <v>0.25</v>
      </c>
      <c r="H6" s="10" t="s">
        <v>22</v>
      </c>
      <c r="I6" s="9" t="s">
        <v>14</v>
      </c>
      <c r="J6" s="15" t="n">
        <v>0</v>
      </c>
      <c r="K6" s="10"/>
    </row>
    <row r="7" customFormat="false" ht="30" hidden="false" customHeight="true" outlineLevel="0" collapsed="false">
      <c r="A7" s="9" t="n">
        <v>6</v>
      </c>
      <c r="B7" s="10" t="s">
        <v>11</v>
      </c>
      <c r="C7" s="10" t="s">
        <v>23</v>
      </c>
      <c r="D7" s="11"/>
      <c r="E7" s="12"/>
      <c r="F7" s="13" t="str">
        <f aca="false">IF(E7="","",E7+ROUNDUP(G7,0)-1)</f>
        <v/>
      </c>
      <c r="G7" s="14" t="n">
        <v>0.5</v>
      </c>
      <c r="H7" s="10" t="s">
        <v>24</v>
      </c>
      <c r="I7" s="9" t="s">
        <v>14</v>
      </c>
      <c r="J7" s="15" t="n">
        <v>0</v>
      </c>
      <c r="K7" s="10"/>
    </row>
    <row r="8" customFormat="false" ht="30" hidden="false" customHeight="true" outlineLevel="0" collapsed="false">
      <c r="A8" s="9" t="n">
        <v>7</v>
      </c>
      <c r="B8" s="10" t="s">
        <v>11</v>
      </c>
      <c r="C8" s="10" t="s">
        <v>25</v>
      </c>
      <c r="D8" s="11"/>
      <c r="E8" s="12"/>
      <c r="F8" s="13" t="str">
        <f aca="false">IF(E8="","",E8+ROUNDUP(G8,0)-1)</f>
        <v/>
      </c>
      <c r="G8" s="14" t="n">
        <v>0.25</v>
      </c>
      <c r="H8" s="10" t="s">
        <v>24</v>
      </c>
      <c r="I8" s="9" t="s">
        <v>14</v>
      </c>
      <c r="J8" s="15" t="n">
        <v>0</v>
      </c>
      <c r="K8" s="10"/>
    </row>
    <row r="9" customFormat="false" ht="30" hidden="false" customHeight="true" outlineLevel="0" collapsed="false">
      <c r="A9" s="9" t="n">
        <v>8</v>
      </c>
      <c r="B9" s="10" t="s">
        <v>11</v>
      </c>
      <c r="C9" s="10" t="s">
        <v>26</v>
      </c>
      <c r="D9" s="11"/>
      <c r="E9" s="12"/>
      <c r="F9" s="13" t="str">
        <f aca="false">IF(E9="","",E9+ROUNDUP(G9,0)-1)</f>
        <v/>
      </c>
      <c r="G9" s="14" t="n">
        <v>0.25</v>
      </c>
      <c r="H9" s="10" t="s">
        <v>13</v>
      </c>
      <c r="I9" s="9" t="s">
        <v>14</v>
      </c>
      <c r="J9" s="15" t="n">
        <v>0</v>
      </c>
      <c r="K9" s="10"/>
    </row>
    <row r="10" customFormat="false" ht="30" hidden="false" customHeight="true" outlineLevel="0" collapsed="false">
      <c r="A10" s="9" t="n">
        <v>9</v>
      </c>
      <c r="B10" s="10" t="s">
        <v>11</v>
      </c>
      <c r="C10" s="10" t="s">
        <v>27</v>
      </c>
      <c r="D10" s="11"/>
      <c r="E10" s="12"/>
      <c r="F10" s="13" t="str">
        <f aca="false">IF(E10="","",E10+ROUNDUP(G10,0)-1)</f>
        <v/>
      </c>
      <c r="G10" s="14" t="n">
        <v>0.25</v>
      </c>
      <c r="H10" s="10" t="s">
        <v>22</v>
      </c>
      <c r="I10" s="9" t="s">
        <v>14</v>
      </c>
      <c r="J10" s="15" t="n">
        <v>0</v>
      </c>
      <c r="K10" s="10"/>
    </row>
    <row r="11" customFormat="false" ht="30" hidden="false" customHeight="true" outlineLevel="0" collapsed="false">
      <c r="A11" s="9" t="n">
        <v>10</v>
      </c>
      <c r="B11" s="10" t="s">
        <v>11</v>
      </c>
      <c r="C11" s="10" t="s">
        <v>28</v>
      </c>
      <c r="D11" s="11"/>
      <c r="E11" s="12"/>
      <c r="F11" s="13" t="str">
        <f aca="false">IF(E11="","",E11+ROUNDUP(G11,0)-1)</f>
        <v/>
      </c>
      <c r="G11" s="14" t="n">
        <v>0.25</v>
      </c>
      <c r="H11" s="10" t="s">
        <v>22</v>
      </c>
      <c r="I11" s="9" t="s">
        <v>14</v>
      </c>
      <c r="J11" s="15" t="n">
        <v>0</v>
      </c>
      <c r="K11" s="10"/>
    </row>
    <row r="12" customFormat="false" ht="30" hidden="false" customHeight="true" outlineLevel="0" collapsed="false">
      <c r="A12" s="9" t="n">
        <v>11</v>
      </c>
      <c r="B12" s="10" t="s">
        <v>11</v>
      </c>
      <c r="C12" s="10" t="s">
        <v>29</v>
      </c>
      <c r="D12" s="11"/>
      <c r="E12" s="12"/>
      <c r="F12" s="13" t="str">
        <f aca="false">IF(E12="","",E12+ROUNDUP(G12,0)-1)</f>
        <v/>
      </c>
      <c r="G12" s="14" t="n">
        <v>0.5</v>
      </c>
      <c r="H12" s="10" t="s">
        <v>30</v>
      </c>
      <c r="I12" s="9" t="s">
        <v>14</v>
      </c>
      <c r="J12" s="15" t="n">
        <v>0</v>
      </c>
      <c r="K12" s="10"/>
    </row>
    <row r="13" customFormat="false" ht="30" hidden="false" customHeight="true" outlineLevel="0" collapsed="false">
      <c r="A13" s="2" t="n">
        <v>12</v>
      </c>
      <c r="B13" s="3" t="s">
        <v>31</v>
      </c>
      <c r="C13" s="3" t="s">
        <v>32</v>
      </c>
      <c r="D13" s="4"/>
      <c r="E13" s="5"/>
      <c r="F13" s="6" t="str">
        <f aca="false">IF(E13="","",E13+ROUNDUP(G13,0)-1)</f>
        <v/>
      </c>
      <c r="G13" s="7" t="n">
        <v>0.5</v>
      </c>
      <c r="H13" s="3" t="s">
        <v>22</v>
      </c>
      <c r="I13" s="2" t="s">
        <v>14</v>
      </c>
      <c r="J13" s="8" t="n">
        <v>0</v>
      </c>
      <c r="K13" s="3" t="s">
        <v>33</v>
      </c>
    </row>
    <row r="14" customFormat="false" ht="30" hidden="false" customHeight="true" outlineLevel="0" collapsed="false">
      <c r="A14" s="9" t="n">
        <v>13</v>
      </c>
      <c r="B14" s="10" t="s">
        <v>31</v>
      </c>
      <c r="C14" s="10" t="s">
        <v>34</v>
      </c>
      <c r="D14" s="11"/>
      <c r="E14" s="12"/>
      <c r="F14" s="13" t="str">
        <f aca="false">IF(E14="","",E14+ROUNDUP(G14,0)-1)</f>
        <v/>
      </c>
      <c r="G14" s="14" t="n">
        <v>1</v>
      </c>
      <c r="H14" s="10" t="s">
        <v>22</v>
      </c>
      <c r="I14" s="9" t="s">
        <v>14</v>
      </c>
      <c r="J14" s="15" t="n">
        <v>0</v>
      </c>
      <c r="K14" s="10"/>
    </row>
    <row r="15" customFormat="false" ht="30" hidden="false" customHeight="true" outlineLevel="0" collapsed="false">
      <c r="A15" s="9" t="n">
        <v>14</v>
      </c>
      <c r="B15" s="10" t="s">
        <v>31</v>
      </c>
      <c r="C15" s="10" t="s">
        <v>35</v>
      </c>
      <c r="D15" s="11"/>
      <c r="E15" s="12"/>
      <c r="F15" s="13" t="str">
        <f aca="false">IF(E15="","",E15+ROUNDUP(G15,0)-1)</f>
        <v/>
      </c>
      <c r="G15" s="14" t="n">
        <v>0.5</v>
      </c>
      <c r="H15" s="10" t="s">
        <v>22</v>
      </c>
      <c r="I15" s="9" t="s">
        <v>14</v>
      </c>
      <c r="J15" s="15" t="n">
        <v>0</v>
      </c>
      <c r="K15" s="10"/>
    </row>
    <row r="16" customFormat="false" ht="30" hidden="false" customHeight="true" outlineLevel="0" collapsed="false">
      <c r="A16" s="9" t="n">
        <v>15</v>
      </c>
      <c r="B16" s="10" t="s">
        <v>31</v>
      </c>
      <c r="C16" s="10" t="s">
        <v>36</v>
      </c>
      <c r="D16" s="11"/>
      <c r="E16" s="12"/>
      <c r="F16" s="13" t="str">
        <f aca="false">IF(E16="","",E16+ROUNDUP(G16,0)-1)</f>
        <v/>
      </c>
      <c r="G16" s="14" t="n">
        <v>0.5</v>
      </c>
      <c r="H16" s="10" t="s">
        <v>22</v>
      </c>
      <c r="I16" s="9" t="s">
        <v>14</v>
      </c>
      <c r="J16" s="15" t="n">
        <v>0</v>
      </c>
      <c r="K16" s="10"/>
    </row>
    <row r="17" customFormat="false" ht="30" hidden="false" customHeight="true" outlineLevel="0" collapsed="false">
      <c r="A17" s="9" t="n">
        <v>16</v>
      </c>
      <c r="B17" s="10" t="s">
        <v>31</v>
      </c>
      <c r="C17" s="10" t="s">
        <v>37</v>
      </c>
      <c r="D17" s="11"/>
      <c r="E17" s="12"/>
      <c r="F17" s="13" t="str">
        <f aca="false">IF(E17="","",E17+ROUNDUP(G17,0)-1)</f>
        <v/>
      </c>
      <c r="G17" s="14" t="n">
        <v>0.5</v>
      </c>
      <c r="H17" s="10" t="s">
        <v>22</v>
      </c>
      <c r="I17" s="9" t="s">
        <v>14</v>
      </c>
      <c r="J17" s="15" t="n">
        <v>0</v>
      </c>
      <c r="K17" s="10"/>
    </row>
    <row r="18" customFormat="false" ht="30" hidden="false" customHeight="true" outlineLevel="0" collapsed="false">
      <c r="A18" s="9" t="n">
        <v>17</v>
      </c>
      <c r="B18" s="10" t="s">
        <v>31</v>
      </c>
      <c r="C18" s="10" t="s">
        <v>38</v>
      </c>
      <c r="D18" s="11"/>
      <c r="E18" s="12"/>
      <c r="F18" s="13" t="str">
        <f aca="false">IF(E18="","",E18+ROUNDUP(G18,0)-1)</f>
        <v/>
      </c>
      <c r="G18" s="14" t="n">
        <v>0.5</v>
      </c>
      <c r="H18" s="10" t="s">
        <v>22</v>
      </c>
      <c r="I18" s="9" t="s">
        <v>14</v>
      </c>
      <c r="J18" s="15" t="n">
        <v>0</v>
      </c>
      <c r="K18" s="10"/>
    </row>
    <row r="19" customFormat="false" ht="30" hidden="false" customHeight="true" outlineLevel="0" collapsed="false">
      <c r="A19" s="9" t="n">
        <v>18</v>
      </c>
      <c r="B19" s="10" t="s">
        <v>31</v>
      </c>
      <c r="C19" s="10" t="s">
        <v>39</v>
      </c>
      <c r="D19" s="11"/>
      <c r="E19" s="12"/>
      <c r="F19" s="13" t="str">
        <f aca="false">IF(E19="","",E19+ROUNDUP(G19,0)-1)</f>
        <v/>
      </c>
      <c r="G19" s="14" t="n">
        <v>0.5</v>
      </c>
      <c r="H19" s="10" t="s">
        <v>22</v>
      </c>
      <c r="I19" s="9" t="s">
        <v>14</v>
      </c>
      <c r="J19" s="15" t="n">
        <v>0</v>
      </c>
      <c r="K19" s="10"/>
    </row>
    <row r="20" customFormat="false" ht="30" hidden="false" customHeight="true" outlineLevel="0" collapsed="false">
      <c r="A20" s="9" t="n">
        <v>19</v>
      </c>
      <c r="B20" s="10" t="s">
        <v>31</v>
      </c>
      <c r="C20" s="10" t="s">
        <v>40</v>
      </c>
      <c r="D20" s="11"/>
      <c r="E20" s="12"/>
      <c r="F20" s="13" t="str">
        <f aca="false">IF(E20="","",E20+ROUNDUP(G20,0)-1)</f>
        <v/>
      </c>
      <c r="G20" s="14" t="n">
        <v>1</v>
      </c>
      <c r="H20" s="10" t="s">
        <v>22</v>
      </c>
      <c r="I20" s="9" t="s">
        <v>14</v>
      </c>
      <c r="J20" s="15" t="n">
        <v>0</v>
      </c>
      <c r="K20" s="10"/>
    </row>
    <row r="21" customFormat="false" ht="30" hidden="false" customHeight="true" outlineLevel="0" collapsed="false">
      <c r="A21" s="9" t="n">
        <v>20</v>
      </c>
      <c r="B21" s="10" t="s">
        <v>31</v>
      </c>
      <c r="C21" s="10" t="s">
        <v>41</v>
      </c>
      <c r="D21" s="11"/>
      <c r="E21" s="12"/>
      <c r="F21" s="13" t="str">
        <f aca="false">IF(E21="","",E21+ROUNDUP(G21,0)-1)</f>
        <v/>
      </c>
      <c r="G21" s="14" t="n">
        <v>0.5</v>
      </c>
      <c r="H21" s="10" t="s">
        <v>22</v>
      </c>
      <c r="I21" s="9" t="s">
        <v>14</v>
      </c>
      <c r="J21" s="15" t="n">
        <v>0</v>
      </c>
      <c r="K21" s="10"/>
    </row>
    <row r="22" customFormat="false" ht="30" hidden="false" customHeight="true" outlineLevel="0" collapsed="false">
      <c r="A22" s="2" t="n">
        <v>21</v>
      </c>
      <c r="B22" s="3" t="s">
        <v>42</v>
      </c>
      <c r="C22" s="3" t="s">
        <v>43</v>
      </c>
      <c r="D22" s="4"/>
      <c r="E22" s="5"/>
      <c r="F22" s="6" t="str">
        <f aca="false">IF(E22="","",E22+ROUNDUP(G22,0)-1)</f>
        <v/>
      </c>
      <c r="G22" s="7" t="n">
        <v>0.5</v>
      </c>
      <c r="H22" s="3" t="s">
        <v>24</v>
      </c>
      <c r="I22" s="2" t="s">
        <v>14</v>
      </c>
      <c r="J22" s="8" t="n">
        <v>0</v>
      </c>
      <c r="K22" s="3" t="s">
        <v>44</v>
      </c>
    </row>
    <row r="23" customFormat="false" ht="30" hidden="false" customHeight="true" outlineLevel="0" collapsed="false">
      <c r="A23" s="9" t="n">
        <v>22</v>
      </c>
      <c r="B23" s="10" t="s">
        <v>42</v>
      </c>
      <c r="C23" s="10" t="s">
        <v>45</v>
      </c>
      <c r="D23" s="11"/>
      <c r="E23" s="12"/>
      <c r="F23" s="13" t="str">
        <f aca="false">IF(E23="","",E23+ROUNDUP(G23,0)-1)</f>
        <v/>
      </c>
      <c r="G23" s="14" t="n">
        <v>1</v>
      </c>
      <c r="H23" s="10" t="s">
        <v>46</v>
      </c>
      <c r="I23" s="9" t="s">
        <v>14</v>
      </c>
      <c r="J23" s="15" t="n">
        <v>0</v>
      </c>
      <c r="K23" s="10" t="s">
        <v>47</v>
      </c>
    </row>
    <row r="24" customFormat="false" ht="30" hidden="false" customHeight="true" outlineLevel="0" collapsed="false">
      <c r="A24" s="9" t="n">
        <v>23</v>
      </c>
      <c r="B24" s="10" t="s">
        <v>42</v>
      </c>
      <c r="C24" s="10" t="s">
        <v>48</v>
      </c>
      <c r="D24" s="11"/>
      <c r="E24" s="12"/>
      <c r="F24" s="13" t="str">
        <f aca="false">IF(E24="","",E24+ROUNDUP(G24,0)-1)</f>
        <v/>
      </c>
      <c r="G24" s="14" t="n">
        <v>1</v>
      </c>
      <c r="H24" s="10" t="s">
        <v>46</v>
      </c>
      <c r="I24" s="9" t="s">
        <v>14</v>
      </c>
      <c r="J24" s="15" t="n">
        <v>0</v>
      </c>
      <c r="K24" s="10" t="s">
        <v>47</v>
      </c>
    </row>
    <row r="25" customFormat="false" ht="30" hidden="false" customHeight="true" outlineLevel="0" collapsed="false">
      <c r="A25" s="9" t="n">
        <v>24</v>
      </c>
      <c r="B25" s="10" t="s">
        <v>42</v>
      </c>
      <c r="C25" s="10" t="s">
        <v>49</v>
      </c>
      <c r="D25" s="11"/>
      <c r="E25" s="12"/>
      <c r="F25" s="13" t="str">
        <f aca="false">IF(E25="","",E25+ROUNDUP(G25,0)-1)</f>
        <v/>
      </c>
      <c r="G25" s="14" t="n">
        <v>1.5</v>
      </c>
      <c r="H25" s="10" t="s">
        <v>46</v>
      </c>
      <c r="I25" s="9" t="s">
        <v>14</v>
      </c>
      <c r="J25" s="15" t="n">
        <v>0</v>
      </c>
      <c r="K25" s="10" t="s">
        <v>47</v>
      </c>
    </row>
    <row r="26" customFormat="false" ht="30" hidden="false" customHeight="true" outlineLevel="0" collapsed="false">
      <c r="A26" s="9" t="n">
        <v>25</v>
      </c>
      <c r="B26" s="10" t="s">
        <v>42</v>
      </c>
      <c r="C26" s="10" t="s">
        <v>50</v>
      </c>
      <c r="D26" s="11"/>
      <c r="E26" s="12"/>
      <c r="F26" s="13" t="str">
        <f aca="false">IF(E26="","",E26+ROUNDUP(G26,0)-1)</f>
        <v/>
      </c>
      <c r="G26" s="14" t="n">
        <v>0.5</v>
      </c>
      <c r="H26" s="10" t="s">
        <v>46</v>
      </c>
      <c r="I26" s="9" t="s">
        <v>14</v>
      </c>
      <c r="J26" s="15" t="n">
        <v>0</v>
      </c>
      <c r="K26" s="10" t="s">
        <v>47</v>
      </c>
    </row>
    <row r="27" customFormat="false" ht="30" hidden="false" customHeight="true" outlineLevel="0" collapsed="false">
      <c r="A27" s="9" t="n">
        <v>26</v>
      </c>
      <c r="B27" s="10" t="s">
        <v>42</v>
      </c>
      <c r="C27" s="10" t="s">
        <v>51</v>
      </c>
      <c r="D27" s="11"/>
      <c r="E27" s="12"/>
      <c r="F27" s="13" t="str">
        <f aca="false">IF(E27="","",E27+ROUNDUP(G27,0)-1)</f>
        <v/>
      </c>
      <c r="G27" s="14" t="n">
        <v>1.5</v>
      </c>
      <c r="H27" s="10" t="s">
        <v>46</v>
      </c>
      <c r="I27" s="9" t="s">
        <v>14</v>
      </c>
      <c r="J27" s="15" t="n">
        <v>0</v>
      </c>
      <c r="K27" s="10" t="s">
        <v>52</v>
      </c>
    </row>
    <row r="28" customFormat="false" ht="30" hidden="false" customHeight="true" outlineLevel="0" collapsed="false">
      <c r="A28" s="9" t="n">
        <v>27</v>
      </c>
      <c r="B28" s="10" t="s">
        <v>42</v>
      </c>
      <c r="C28" s="10" t="s">
        <v>53</v>
      </c>
      <c r="D28" s="11"/>
      <c r="E28" s="12"/>
      <c r="F28" s="13" t="str">
        <f aca="false">IF(E28="","",E28+ROUNDUP(G28,0)-1)</f>
        <v/>
      </c>
      <c r="G28" s="14" t="n">
        <v>1</v>
      </c>
      <c r="H28" s="10" t="s">
        <v>46</v>
      </c>
      <c r="I28" s="9" t="s">
        <v>14</v>
      </c>
      <c r="J28" s="15" t="n">
        <v>0</v>
      </c>
      <c r="K28" s="10" t="s">
        <v>47</v>
      </c>
    </row>
    <row r="29" customFormat="false" ht="30" hidden="false" customHeight="true" outlineLevel="0" collapsed="false">
      <c r="A29" s="9" t="n">
        <v>28</v>
      </c>
      <c r="B29" s="10" t="s">
        <v>42</v>
      </c>
      <c r="C29" s="10" t="s">
        <v>54</v>
      </c>
      <c r="D29" s="11"/>
      <c r="E29" s="12"/>
      <c r="F29" s="13" t="str">
        <f aca="false">IF(E29="","",E29+ROUNDUP(G29,0)-1)</f>
        <v/>
      </c>
      <c r="G29" s="14" t="n">
        <v>1</v>
      </c>
      <c r="H29" s="10" t="s">
        <v>46</v>
      </c>
      <c r="I29" s="9" t="s">
        <v>14</v>
      </c>
      <c r="J29" s="15" t="n">
        <v>0</v>
      </c>
      <c r="K29" s="10" t="s">
        <v>47</v>
      </c>
    </row>
    <row r="30" customFormat="false" ht="30" hidden="false" customHeight="true" outlineLevel="0" collapsed="false">
      <c r="A30" s="9" t="n">
        <v>29</v>
      </c>
      <c r="B30" s="10" t="s">
        <v>42</v>
      </c>
      <c r="C30" s="10" t="s">
        <v>55</v>
      </c>
      <c r="D30" s="11"/>
      <c r="E30" s="12"/>
      <c r="F30" s="13" t="str">
        <f aca="false">IF(E30="","",E30+ROUNDUP(G30,0)-1)</f>
        <v/>
      </c>
      <c r="G30" s="14" t="n">
        <v>1</v>
      </c>
      <c r="H30" s="10" t="s">
        <v>46</v>
      </c>
      <c r="I30" s="9" t="s">
        <v>14</v>
      </c>
      <c r="J30" s="15" t="n">
        <v>0</v>
      </c>
      <c r="K30" s="10" t="s">
        <v>56</v>
      </c>
    </row>
    <row r="31" customFormat="false" ht="30" hidden="false" customHeight="true" outlineLevel="0" collapsed="false">
      <c r="A31" s="9" t="n">
        <v>30</v>
      </c>
      <c r="B31" s="10" t="s">
        <v>42</v>
      </c>
      <c r="C31" s="10" t="s">
        <v>57</v>
      </c>
      <c r="D31" s="11"/>
      <c r="E31" s="12"/>
      <c r="F31" s="13" t="str">
        <f aca="false">IF(E31="","",E31+ROUNDUP(G31,0)-1)</f>
        <v/>
      </c>
      <c r="G31" s="14" t="n">
        <v>1</v>
      </c>
      <c r="H31" s="10" t="s">
        <v>46</v>
      </c>
      <c r="I31" s="9" t="s">
        <v>14</v>
      </c>
      <c r="J31" s="15" t="n">
        <v>0</v>
      </c>
      <c r="K31" s="10" t="s">
        <v>58</v>
      </c>
    </row>
    <row r="32" customFormat="false" ht="30" hidden="false" customHeight="true" outlineLevel="0" collapsed="false">
      <c r="A32" s="9" t="n">
        <v>31</v>
      </c>
      <c r="B32" s="10" t="s">
        <v>42</v>
      </c>
      <c r="C32" s="10" t="s">
        <v>59</v>
      </c>
      <c r="D32" s="11"/>
      <c r="E32" s="12"/>
      <c r="F32" s="13" t="str">
        <f aca="false">IF(E32="","",E32+ROUNDUP(G32,0)-1)</f>
        <v/>
      </c>
      <c r="G32" s="14" t="n">
        <v>1</v>
      </c>
      <c r="H32" s="10" t="s">
        <v>46</v>
      </c>
      <c r="I32" s="9" t="s">
        <v>14</v>
      </c>
      <c r="J32" s="15" t="n">
        <v>0</v>
      </c>
      <c r="K32" s="10" t="s">
        <v>58</v>
      </c>
    </row>
    <row r="33" customFormat="false" ht="30" hidden="false" customHeight="true" outlineLevel="0" collapsed="false">
      <c r="A33" s="9" t="n">
        <v>32</v>
      </c>
      <c r="B33" s="10" t="s">
        <v>42</v>
      </c>
      <c r="C33" s="10" t="s">
        <v>60</v>
      </c>
      <c r="D33" s="11"/>
      <c r="E33" s="12"/>
      <c r="F33" s="13" t="str">
        <f aca="false">IF(E33="","",E33+ROUNDUP(G33,0)-1)</f>
        <v/>
      </c>
      <c r="G33" s="14" t="n">
        <v>1</v>
      </c>
      <c r="H33" s="10" t="s">
        <v>22</v>
      </c>
      <c r="I33" s="9" t="s">
        <v>14</v>
      </c>
      <c r="J33" s="15" t="n">
        <v>0</v>
      </c>
      <c r="K33" s="10"/>
    </row>
    <row r="34" customFormat="false" ht="30" hidden="false" customHeight="true" outlineLevel="0" collapsed="false">
      <c r="A34" s="9" t="n">
        <v>33</v>
      </c>
      <c r="B34" s="10" t="s">
        <v>42</v>
      </c>
      <c r="C34" s="10" t="s">
        <v>61</v>
      </c>
      <c r="D34" s="11"/>
      <c r="E34" s="12"/>
      <c r="F34" s="13" t="str">
        <f aca="false">IF(E34="","",E34+ROUNDUP(G34,0)-1)</f>
        <v/>
      </c>
      <c r="G34" s="14" t="n">
        <v>1.5</v>
      </c>
      <c r="H34" s="10" t="s">
        <v>46</v>
      </c>
      <c r="I34" s="9" t="s">
        <v>14</v>
      </c>
      <c r="J34" s="15" t="n">
        <v>0</v>
      </c>
      <c r="K34" s="10" t="s">
        <v>62</v>
      </c>
    </row>
    <row r="35" customFormat="false" ht="30" hidden="false" customHeight="true" outlineLevel="0" collapsed="false">
      <c r="A35" s="9" t="n">
        <v>34</v>
      </c>
      <c r="B35" s="10" t="s">
        <v>42</v>
      </c>
      <c r="C35" s="10" t="s">
        <v>63</v>
      </c>
      <c r="D35" s="11"/>
      <c r="E35" s="12"/>
      <c r="F35" s="13" t="str">
        <f aca="false">IF(E35="","",E35+ROUNDUP(G35,0)-1)</f>
        <v/>
      </c>
      <c r="G35" s="14" t="n">
        <v>1</v>
      </c>
      <c r="H35" s="10" t="s">
        <v>64</v>
      </c>
      <c r="I35" s="9" t="s">
        <v>14</v>
      </c>
      <c r="J35" s="15" t="n">
        <v>0</v>
      </c>
      <c r="K35" s="10"/>
    </row>
    <row r="36" customFormat="false" ht="30" hidden="false" customHeight="true" outlineLevel="0" collapsed="false">
      <c r="A36" s="9" t="n">
        <v>35</v>
      </c>
      <c r="B36" s="10" t="s">
        <v>42</v>
      </c>
      <c r="C36" s="10" t="s">
        <v>65</v>
      </c>
      <c r="D36" s="11"/>
      <c r="E36" s="12"/>
      <c r="F36" s="13" t="str">
        <f aca="false">IF(E36="","",E36+ROUNDUP(G36,0)-1)</f>
        <v/>
      </c>
      <c r="G36" s="14" t="n">
        <v>0.5</v>
      </c>
      <c r="H36" s="10" t="s">
        <v>22</v>
      </c>
      <c r="I36" s="9" t="s">
        <v>14</v>
      </c>
      <c r="J36" s="15" t="n">
        <v>0</v>
      </c>
      <c r="K36" s="10" t="s">
        <v>58</v>
      </c>
    </row>
    <row r="37" customFormat="false" ht="30" hidden="false" customHeight="true" outlineLevel="0" collapsed="false">
      <c r="A37" s="9" t="n">
        <v>36</v>
      </c>
      <c r="B37" s="10" t="s">
        <v>42</v>
      </c>
      <c r="C37" s="10" t="s">
        <v>66</v>
      </c>
      <c r="D37" s="11"/>
      <c r="E37" s="12"/>
      <c r="F37" s="13" t="str">
        <f aca="false">IF(E37="","",E37+ROUNDUP(G37,0)-1)</f>
        <v/>
      </c>
      <c r="G37" s="14" t="n">
        <v>2</v>
      </c>
      <c r="H37" s="10" t="s">
        <v>46</v>
      </c>
      <c r="I37" s="9" t="s">
        <v>14</v>
      </c>
      <c r="J37" s="15" t="n">
        <v>0</v>
      </c>
      <c r="K37" s="10" t="s">
        <v>67</v>
      </c>
    </row>
    <row r="38" customFormat="false" ht="30" hidden="false" customHeight="true" outlineLevel="0" collapsed="false">
      <c r="A38" s="9" t="n">
        <v>37</v>
      </c>
      <c r="B38" s="10" t="s">
        <v>42</v>
      </c>
      <c r="C38" s="10" t="s">
        <v>68</v>
      </c>
      <c r="D38" s="11"/>
      <c r="E38" s="12"/>
      <c r="F38" s="13" t="str">
        <f aca="false">IF(E38="","",E38+ROUNDUP(G38,0)-1)</f>
        <v/>
      </c>
      <c r="G38" s="14" t="n">
        <v>0.5</v>
      </c>
      <c r="H38" s="10" t="s">
        <v>22</v>
      </c>
      <c r="I38" s="9" t="s">
        <v>14</v>
      </c>
      <c r="J38" s="15" t="n">
        <v>0</v>
      </c>
      <c r="K38" s="10"/>
    </row>
    <row r="39" customFormat="false" ht="30" hidden="false" customHeight="true" outlineLevel="0" collapsed="false">
      <c r="A39" s="2" t="n">
        <v>38</v>
      </c>
      <c r="B39" s="3" t="s">
        <v>69</v>
      </c>
      <c r="C39" s="3" t="s">
        <v>70</v>
      </c>
      <c r="D39" s="4"/>
      <c r="E39" s="5"/>
      <c r="F39" s="6" t="str">
        <f aca="false">IF(E39="","",E39+ROUNDUP(G39,0)-1)</f>
        <v/>
      </c>
      <c r="G39" s="7" t="n">
        <v>1</v>
      </c>
      <c r="H39" s="3" t="s">
        <v>46</v>
      </c>
      <c r="I39" s="2" t="s">
        <v>14</v>
      </c>
      <c r="J39" s="8" t="n">
        <v>0</v>
      </c>
      <c r="K39" s="3" t="s">
        <v>71</v>
      </c>
    </row>
    <row r="40" customFormat="false" ht="30" hidden="false" customHeight="true" outlineLevel="0" collapsed="false">
      <c r="A40" s="9" t="n">
        <v>39</v>
      </c>
      <c r="B40" s="10" t="s">
        <v>69</v>
      </c>
      <c r="C40" s="10" t="s">
        <v>72</v>
      </c>
      <c r="D40" s="11"/>
      <c r="E40" s="12"/>
      <c r="F40" s="13" t="str">
        <f aca="false">IF(E40="","",E40+ROUNDUP(G40,0)-1)</f>
        <v/>
      </c>
      <c r="G40" s="14" t="n">
        <v>3</v>
      </c>
      <c r="H40" s="10" t="s">
        <v>73</v>
      </c>
      <c r="I40" s="9" t="s">
        <v>14</v>
      </c>
      <c r="J40" s="15" t="n">
        <v>0</v>
      </c>
      <c r="K40" s="10" t="s">
        <v>74</v>
      </c>
    </row>
    <row r="41" customFormat="false" ht="30" hidden="false" customHeight="true" outlineLevel="0" collapsed="false">
      <c r="A41" s="9" t="n">
        <v>40</v>
      </c>
      <c r="B41" s="10" t="s">
        <v>69</v>
      </c>
      <c r="C41" s="10" t="s">
        <v>75</v>
      </c>
      <c r="D41" s="11"/>
      <c r="E41" s="12"/>
      <c r="F41" s="13" t="str">
        <f aca="false">IF(E41="","",E41+ROUNDUP(G41,0)-1)</f>
        <v/>
      </c>
      <c r="G41" s="14" t="n">
        <v>0.5</v>
      </c>
      <c r="H41" s="10" t="s">
        <v>73</v>
      </c>
      <c r="I41" s="9" t="s">
        <v>14</v>
      </c>
      <c r="J41" s="15" t="n">
        <v>0</v>
      </c>
      <c r="K41" s="10" t="s">
        <v>76</v>
      </c>
    </row>
    <row r="42" customFormat="false" ht="30" hidden="false" customHeight="true" outlineLevel="0" collapsed="false">
      <c r="A42" s="9" t="n">
        <v>41</v>
      </c>
      <c r="B42" s="10" t="s">
        <v>69</v>
      </c>
      <c r="C42" s="10" t="s">
        <v>77</v>
      </c>
      <c r="D42" s="11"/>
      <c r="E42" s="12"/>
      <c r="F42" s="13" t="str">
        <f aca="false">IF(E42="","",E42+ROUNDUP(G42,0)-1)</f>
        <v/>
      </c>
      <c r="G42" s="14" t="n">
        <v>1</v>
      </c>
      <c r="H42" s="10" t="s">
        <v>73</v>
      </c>
      <c r="I42" s="9" t="s">
        <v>14</v>
      </c>
      <c r="J42" s="15" t="n">
        <v>0</v>
      </c>
      <c r="K42" s="10"/>
    </row>
    <row r="43" customFormat="false" ht="30" hidden="false" customHeight="true" outlineLevel="0" collapsed="false">
      <c r="A43" s="9" t="n">
        <v>42</v>
      </c>
      <c r="B43" s="10" t="s">
        <v>69</v>
      </c>
      <c r="C43" s="10" t="s">
        <v>78</v>
      </c>
      <c r="D43" s="11"/>
      <c r="E43" s="12"/>
      <c r="F43" s="13" t="str">
        <f aca="false">IF(E43="","",E43+ROUNDUP(G43,0)-1)</f>
        <v/>
      </c>
      <c r="G43" s="14" t="n">
        <v>1</v>
      </c>
      <c r="H43" s="10" t="s">
        <v>73</v>
      </c>
      <c r="I43" s="9" t="s">
        <v>14</v>
      </c>
      <c r="J43" s="15" t="n">
        <v>0</v>
      </c>
      <c r="K43" s="10"/>
    </row>
    <row r="44" customFormat="false" ht="30" hidden="false" customHeight="true" outlineLevel="0" collapsed="false">
      <c r="A44" s="9" t="n">
        <v>43</v>
      </c>
      <c r="B44" s="10" t="s">
        <v>69</v>
      </c>
      <c r="C44" s="10" t="s">
        <v>79</v>
      </c>
      <c r="D44" s="11"/>
      <c r="E44" s="12"/>
      <c r="F44" s="13" t="str">
        <f aca="false">IF(E44="","",E44+ROUNDUP(G44,0)-1)</f>
        <v/>
      </c>
      <c r="G44" s="14" t="n">
        <v>0.5</v>
      </c>
      <c r="H44" s="10" t="s">
        <v>73</v>
      </c>
      <c r="I44" s="9" t="s">
        <v>14</v>
      </c>
      <c r="J44" s="15" t="n">
        <v>0</v>
      </c>
      <c r="K44" s="10"/>
    </row>
    <row r="45" customFormat="false" ht="30" hidden="false" customHeight="true" outlineLevel="0" collapsed="false">
      <c r="A45" s="9" t="n">
        <v>44</v>
      </c>
      <c r="B45" s="10" t="s">
        <v>69</v>
      </c>
      <c r="C45" s="10" t="s">
        <v>80</v>
      </c>
      <c r="D45" s="11"/>
      <c r="E45" s="12"/>
      <c r="F45" s="13" t="str">
        <f aca="false">IF(E45="","",E45+ROUNDUP(G45,0)-1)</f>
        <v/>
      </c>
      <c r="G45" s="14" t="n">
        <v>0.5</v>
      </c>
      <c r="H45" s="10" t="s">
        <v>73</v>
      </c>
      <c r="I45" s="9" t="s">
        <v>14</v>
      </c>
      <c r="J45" s="15" t="n">
        <v>0</v>
      </c>
      <c r="K45" s="10"/>
    </row>
    <row r="46" customFormat="false" ht="30" hidden="false" customHeight="true" outlineLevel="0" collapsed="false">
      <c r="A46" s="9" t="n">
        <v>45</v>
      </c>
      <c r="B46" s="10" t="s">
        <v>69</v>
      </c>
      <c r="C46" s="10" t="s">
        <v>81</v>
      </c>
      <c r="D46" s="11"/>
      <c r="E46" s="12"/>
      <c r="F46" s="13" t="str">
        <f aca="false">IF(E46="","",E46+ROUNDUP(G46,0)-1)</f>
        <v/>
      </c>
      <c r="G46" s="14" t="n">
        <v>1</v>
      </c>
      <c r="H46" s="10" t="s">
        <v>73</v>
      </c>
      <c r="I46" s="9" t="s">
        <v>14</v>
      </c>
      <c r="J46" s="15" t="n">
        <v>0</v>
      </c>
      <c r="K46" s="10"/>
    </row>
    <row r="47" customFormat="false" ht="30" hidden="false" customHeight="true" outlineLevel="0" collapsed="false">
      <c r="A47" s="9" t="n">
        <v>46</v>
      </c>
      <c r="B47" s="10" t="s">
        <v>69</v>
      </c>
      <c r="C47" s="10" t="s">
        <v>82</v>
      </c>
      <c r="D47" s="11"/>
      <c r="E47" s="12"/>
      <c r="F47" s="13" t="str">
        <f aca="false">IF(E47="","",E47+ROUNDUP(G47,0)-1)</f>
        <v/>
      </c>
      <c r="G47" s="14" t="n">
        <v>2</v>
      </c>
      <c r="H47" s="10" t="s">
        <v>73</v>
      </c>
      <c r="I47" s="9" t="s">
        <v>14</v>
      </c>
      <c r="J47" s="15" t="n">
        <v>0</v>
      </c>
      <c r="K47" s="10" t="s">
        <v>83</v>
      </c>
    </row>
    <row r="48" customFormat="false" ht="30" hidden="false" customHeight="true" outlineLevel="0" collapsed="false">
      <c r="A48" s="9" t="n">
        <v>47</v>
      </c>
      <c r="B48" s="10" t="s">
        <v>69</v>
      </c>
      <c r="C48" s="10" t="s">
        <v>84</v>
      </c>
      <c r="D48" s="11"/>
      <c r="E48" s="12"/>
      <c r="F48" s="13" t="str">
        <f aca="false">IF(E48="","",E48+ROUNDUP(G48,0)-1)</f>
        <v/>
      </c>
      <c r="G48" s="14" t="n">
        <v>1.5</v>
      </c>
      <c r="H48" s="10" t="s">
        <v>73</v>
      </c>
      <c r="I48" s="9" t="s">
        <v>14</v>
      </c>
      <c r="J48" s="15" t="n">
        <v>0</v>
      </c>
      <c r="K48" s="10" t="s">
        <v>85</v>
      </c>
    </row>
    <row r="49" customFormat="false" ht="30" hidden="false" customHeight="true" outlineLevel="0" collapsed="false">
      <c r="A49" s="9" t="n">
        <v>48</v>
      </c>
      <c r="B49" s="10" t="s">
        <v>69</v>
      </c>
      <c r="C49" s="10" t="s">
        <v>86</v>
      </c>
      <c r="D49" s="11"/>
      <c r="E49" s="12"/>
      <c r="F49" s="13" t="str">
        <f aca="false">IF(E49="","",E49+ROUNDUP(G49,0)-1)</f>
        <v/>
      </c>
      <c r="G49" s="14" t="n">
        <v>1</v>
      </c>
      <c r="H49" s="10" t="s">
        <v>73</v>
      </c>
      <c r="I49" s="9" t="s">
        <v>14</v>
      </c>
      <c r="J49" s="15" t="n">
        <v>0</v>
      </c>
      <c r="K49" s="10"/>
    </row>
    <row r="50" customFormat="false" ht="30" hidden="false" customHeight="true" outlineLevel="0" collapsed="false">
      <c r="A50" s="9" t="n">
        <v>49</v>
      </c>
      <c r="B50" s="10" t="s">
        <v>69</v>
      </c>
      <c r="C50" s="10" t="s">
        <v>87</v>
      </c>
      <c r="D50" s="11"/>
      <c r="E50" s="12"/>
      <c r="F50" s="13" t="str">
        <f aca="false">IF(E50="","",E50+ROUNDUP(G50,0)-1)</f>
        <v/>
      </c>
      <c r="G50" s="14" t="n">
        <v>1</v>
      </c>
      <c r="H50" s="10" t="s">
        <v>73</v>
      </c>
      <c r="I50" s="9" t="s">
        <v>14</v>
      </c>
      <c r="J50" s="15" t="n">
        <v>0</v>
      </c>
      <c r="K50" s="10" t="s">
        <v>88</v>
      </c>
    </row>
    <row r="51" customFormat="false" ht="30" hidden="false" customHeight="true" outlineLevel="0" collapsed="false">
      <c r="A51" s="9" t="n">
        <v>50</v>
      </c>
      <c r="B51" s="10" t="s">
        <v>69</v>
      </c>
      <c r="C51" s="10" t="s">
        <v>89</v>
      </c>
      <c r="D51" s="11"/>
      <c r="E51" s="12"/>
      <c r="F51" s="13" t="str">
        <f aca="false">IF(E51="","",E51+ROUNDUP(G51,0)-1)</f>
        <v/>
      </c>
      <c r="G51" s="14" t="n">
        <v>1.5</v>
      </c>
      <c r="H51" s="10" t="s">
        <v>73</v>
      </c>
      <c r="I51" s="9" t="s">
        <v>14</v>
      </c>
      <c r="J51" s="15" t="n">
        <v>0</v>
      </c>
      <c r="K51" s="10"/>
    </row>
    <row r="52" customFormat="false" ht="30" hidden="false" customHeight="true" outlineLevel="0" collapsed="false">
      <c r="A52" s="9" t="n">
        <v>51</v>
      </c>
      <c r="B52" s="10" t="s">
        <v>69</v>
      </c>
      <c r="C52" s="10" t="s">
        <v>90</v>
      </c>
      <c r="D52" s="11"/>
      <c r="E52" s="12"/>
      <c r="F52" s="13" t="str">
        <f aca="false">IF(E52="","",E52+ROUNDUP(G52,0)-1)</f>
        <v/>
      </c>
      <c r="G52" s="14" t="n">
        <v>1</v>
      </c>
      <c r="H52" s="10" t="s">
        <v>73</v>
      </c>
      <c r="I52" s="9" t="s">
        <v>14</v>
      </c>
      <c r="J52" s="15" t="n">
        <v>0</v>
      </c>
      <c r="K52" s="10" t="s">
        <v>91</v>
      </c>
    </row>
    <row r="53" customFormat="false" ht="30" hidden="false" customHeight="true" outlineLevel="0" collapsed="false">
      <c r="A53" s="9" t="n">
        <v>52</v>
      </c>
      <c r="B53" s="10" t="s">
        <v>69</v>
      </c>
      <c r="C53" s="10" t="s">
        <v>92</v>
      </c>
      <c r="D53" s="11"/>
      <c r="E53" s="12"/>
      <c r="F53" s="13" t="str">
        <f aca="false">IF(E53="","",E53+ROUNDUP(G53,0)-1)</f>
        <v/>
      </c>
      <c r="G53" s="14" t="n">
        <v>0.25</v>
      </c>
      <c r="H53" s="10" t="s">
        <v>73</v>
      </c>
      <c r="I53" s="9" t="s">
        <v>14</v>
      </c>
      <c r="J53" s="15" t="n">
        <v>0</v>
      </c>
      <c r="K53" s="10"/>
    </row>
    <row r="54" customFormat="false" ht="30" hidden="false" customHeight="true" outlineLevel="0" collapsed="false">
      <c r="A54" s="9" t="n">
        <v>53</v>
      </c>
      <c r="B54" s="10" t="s">
        <v>69</v>
      </c>
      <c r="C54" s="10" t="s">
        <v>93</v>
      </c>
      <c r="D54" s="11"/>
      <c r="E54" s="12"/>
      <c r="F54" s="13" t="str">
        <f aca="false">IF(E54="","",E54+ROUNDUP(G54,0)-1)</f>
        <v/>
      </c>
      <c r="G54" s="14" t="n">
        <v>1.5</v>
      </c>
      <c r="H54" s="10" t="s">
        <v>64</v>
      </c>
      <c r="I54" s="9" t="s">
        <v>14</v>
      </c>
      <c r="J54" s="15" t="n">
        <v>0</v>
      </c>
      <c r="K54" s="10"/>
    </row>
    <row r="55" customFormat="false" ht="30" hidden="false" customHeight="true" outlineLevel="0" collapsed="false">
      <c r="A55" s="2" t="n">
        <v>54</v>
      </c>
      <c r="B55" s="3" t="s">
        <v>94</v>
      </c>
      <c r="C55" s="3" t="s">
        <v>95</v>
      </c>
      <c r="D55" s="4"/>
      <c r="E55" s="5"/>
      <c r="F55" s="6" t="str">
        <f aca="false">IF(E55="","",E55+ROUNDUP(G55,0)-1)</f>
        <v/>
      </c>
      <c r="G55" s="7" t="n">
        <v>2</v>
      </c>
      <c r="H55" s="3" t="s">
        <v>73</v>
      </c>
      <c r="I55" s="2" t="s">
        <v>14</v>
      </c>
      <c r="J55" s="8" t="n">
        <v>0</v>
      </c>
      <c r="K55" s="3" t="s">
        <v>96</v>
      </c>
    </row>
    <row r="56" customFormat="false" ht="30" hidden="false" customHeight="true" outlineLevel="0" collapsed="false">
      <c r="A56" s="9" t="n">
        <v>55</v>
      </c>
      <c r="B56" s="10" t="s">
        <v>94</v>
      </c>
      <c r="C56" s="10" t="s">
        <v>97</v>
      </c>
      <c r="D56" s="11"/>
      <c r="E56" s="12"/>
      <c r="F56" s="13" t="str">
        <f aca="false">IF(E56="","",E56+ROUNDUP(G56,0)-1)</f>
        <v/>
      </c>
      <c r="G56" s="14" t="n">
        <v>1</v>
      </c>
      <c r="H56" s="10" t="s">
        <v>73</v>
      </c>
      <c r="I56" s="9" t="s">
        <v>14</v>
      </c>
      <c r="J56" s="15" t="n">
        <v>0</v>
      </c>
      <c r="K56" s="10"/>
    </row>
    <row r="57" customFormat="false" ht="30" hidden="false" customHeight="true" outlineLevel="0" collapsed="false">
      <c r="A57" s="9" t="n">
        <v>56</v>
      </c>
      <c r="B57" s="10" t="s">
        <v>94</v>
      </c>
      <c r="C57" s="10" t="s">
        <v>98</v>
      </c>
      <c r="D57" s="11"/>
      <c r="E57" s="12"/>
      <c r="F57" s="13" t="str">
        <f aca="false">IF(E57="","",E57+ROUNDUP(G57,0)-1)</f>
        <v/>
      </c>
      <c r="G57" s="14" t="n">
        <v>1</v>
      </c>
      <c r="H57" s="10" t="s">
        <v>73</v>
      </c>
      <c r="I57" s="9" t="s">
        <v>14</v>
      </c>
      <c r="J57" s="15" t="n">
        <v>0</v>
      </c>
      <c r="K57" s="10"/>
    </row>
    <row r="58" customFormat="false" ht="30" hidden="false" customHeight="true" outlineLevel="0" collapsed="false">
      <c r="A58" s="9" t="n">
        <v>57</v>
      </c>
      <c r="B58" s="10" t="s">
        <v>94</v>
      </c>
      <c r="C58" s="10" t="s">
        <v>99</v>
      </c>
      <c r="D58" s="11"/>
      <c r="E58" s="12"/>
      <c r="F58" s="13" t="str">
        <f aca="false">IF(E58="","",E58+ROUNDUP(G58,0)-1)</f>
        <v/>
      </c>
      <c r="G58" s="14" t="n">
        <v>1</v>
      </c>
      <c r="H58" s="10" t="s">
        <v>73</v>
      </c>
      <c r="I58" s="9" t="s">
        <v>14</v>
      </c>
      <c r="J58" s="15" t="n">
        <v>0</v>
      </c>
      <c r="K58" s="10" t="s">
        <v>100</v>
      </c>
    </row>
    <row r="59" customFormat="false" ht="30" hidden="false" customHeight="true" outlineLevel="0" collapsed="false">
      <c r="A59" s="9" t="n">
        <v>58</v>
      </c>
      <c r="B59" s="10" t="s">
        <v>94</v>
      </c>
      <c r="C59" s="10" t="s">
        <v>101</v>
      </c>
      <c r="D59" s="11"/>
      <c r="E59" s="12"/>
      <c r="F59" s="13" t="str">
        <f aca="false">IF(E59="","",E59+ROUNDUP(G59,0)-1)</f>
        <v/>
      </c>
      <c r="G59" s="14" t="n">
        <v>0.25</v>
      </c>
      <c r="H59" s="10" t="s">
        <v>24</v>
      </c>
      <c r="I59" s="9" t="s">
        <v>14</v>
      </c>
      <c r="J59" s="15" t="n">
        <v>0</v>
      </c>
      <c r="K59" s="10"/>
    </row>
    <row r="60" customFormat="false" ht="30" hidden="false" customHeight="true" outlineLevel="0" collapsed="false">
      <c r="A60" s="9" t="n">
        <v>59</v>
      </c>
      <c r="B60" s="10" t="s">
        <v>94</v>
      </c>
      <c r="C60" s="10" t="s">
        <v>102</v>
      </c>
      <c r="D60" s="11"/>
      <c r="E60" s="12"/>
      <c r="F60" s="13" t="str">
        <f aca="false">IF(E60="","",E60+ROUNDUP(G60,0)-1)</f>
        <v/>
      </c>
      <c r="G60" s="14" t="n">
        <v>1</v>
      </c>
      <c r="H60" s="10" t="s">
        <v>73</v>
      </c>
      <c r="I60" s="9" t="s">
        <v>14</v>
      </c>
      <c r="J60" s="15" t="n">
        <v>0</v>
      </c>
      <c r="K60" s="10" t="s">
        <v>103</v>
      </c>
    </row>
    <row r="61" customFormat="false" ht="30" hidden="false" customHeight="true" outlineLevel="0" collapsed="false">
      <c r="A61" s="9" t="n">
        <v>60</v>
      </c>
      <c r="B61" s="10" t="s">
        <v>94</v>
      </c>
      <c r="C61" s="10" t="s">
        <v>104</v>
      </c>
      <c r="D61" s="11"/>
      <c r="E61" s="12"/>
      <c r="F61" s="13" t="str">
        <f aca="false">IF(E61="","",E61+ROUNDUP(G61,0)-1)</f>
        <v/>
      </c>
      <c r="G61" s="14" t="n">
        <v>1.5</v>
      </c>
      <c r="H61" s="10" t="s">
        <v>73</v>
      </c>
      <c r="I61" s="9" t="s">
        <v>14</v>
      </c>
      <c r="J61" s="15" t="n">
        <v>0</v>
      </c>
      <c r="K61" s="10"/>
    </row>
    <row r="62" customFormat="false" ht="30" hidden="false" customHeight="true" outlineLevel="0" collapsed="false">
      <c r="A62" s="9" t="n">
        <v>61</v>
      </c>
      <c r="B62" s="10" t="s">
        <v>94</v>
      </c>
      <c r="C62" s="10" t="s">
        <v>105</v>
      </c>
      <c r="D62" s="11"/>
      <c r="E62" s="12"/>
      <c r="F62" s="13" t="str">
        <f aca="false">IF(E62="","",E62+ROUNDUP(G62,0)-1)</f>
        <v/>
      </c>
      <c r="G62" s="14" t="n">
        <v>0.25</v>
      </c>
      <c r="H62" s="10" t="s">
        <v>24</v>
      </c>
      <c r="I62" s="9" t="s">
        <v>14</v>
      </c>
      <c r="J62" s="15" t="n">
        <v>0</v>
      </c>
      <c r="K62" s="10" t="s">
        <v>106</v>
      </c>
    </row>
    <row r="63" customFormat="false" ht="30" hidden="false" customHeight="true" outlineLevel="0" collapsed="false">
      <c r="A63" s="9" t="n">
        <v>62</v>
      </c>
      <c r="B63" s="10" t="s">
        <v>94</v>
      </c>
      <c r="C63" s="10" t="s">
        <v>107</v>
      </c>
      <c r="D63" s="11"/>
      <c r="E63" s="12"/>
      <c r="F63" s="13" t="str">
        <f aca="false">IF(E63="","",E63+ROUNDUP(G63,0)-1)</f>
        <v/>
      </c>
      <c r="G63" s="14" t="n">
        <v>1</v>
      </c>
      <c r="H63" s="10" t="s">
        <v>46</v>
      </c>
      <c r="I63" s="9" t="s">
        <v>14</v>
      </c>
      <c r="J63" s="15" t="n">
        <v>0</v>
      </c>
      <c r="K63" s="10" t="s">
        <v>108</v>
      </c>
    </row>
    <row r="64" customFormat="false" ht="30" hidden="false" customHeight="true" outlineLevel="0" collapsed="false">
      <c r="A64" s="9" t="n">
        <v>63</v>
      </c>
      <c r="B64" s="10" t="s">
        <v>94</v>
      </c>
      <c r="C64" s="10" t="s">
        <v>109</v>
      </c>
      <c r="D64" s="11"/>
      <c r="E64" s="12"/>
      <c r="F64" s="13" t="str">
        <f aca="false">IF(E64="","",E64+ROUNDUP(G64,0)-1)</f>
        <v/>
      </c>
      <c r="G64" s="14" t="n">
        <v>1.5</v>
      </c>
      <c r="H64" s="10" t="s">
        <v>73</v>
      </c>
      <c r="I64" s="9" t="s">
        <v>14</v>
      </c>
      <c r="J64" s="15" t="n">
        <v>0</v>
      </c>
      <c r="K64" s="10"/>
    </row>
    <row r="65" customFormat="false" ht="30" hidden="false" customHeight="true" outlineLevel="0" collapsed="false">
      <c r="A65" s="9" t="n">
        <v>64</v>
      </c>
      <c r="B65" s="10" t="s">
        <v>94</v>
      </c>
      <c r="C65" s="10" t="s">
        <v>110</v>
      </c>
      <c r="D65" s="11"/>
      <c r="E65" s="12"/>
      <c r="F65" s="13" t="str">
        <f aca="false">IF(E65="","",E65+ROUNDUP(G65,0)-1)</f>
        <v/>
      </c>
      <c r="G65" s="14" t="n">
        <v>1.5</v>
      </c>
      <c r="H65" s="10" t="s">
        <v>111</v>
      </c>
      <c r="I65" s="9" t="s">
        <v>14</v>
      </c>
      <c r="J65" s="15" t="n">
        <v>0</v>
      </c>
      <c r="K65" s="10" t="s">
        <v>112</v>
      </c>
    </row>
    <row r="66" customFormat="false" ht="30" hidden="false" customHeight="true" outlineLevel="0" collapsed="false">
      <c r="A66" s="2" t="n">
        <v>65</v>
      </c>
      <c r="B66" s="3" t="s">
        <v>113</v>
      </c>
      <c r="C66" s="3" t="s">
        <v>114</v>
      </c>
      <c r="D66" s="4"/>
      <c r="E66" s="5"/>
      <c r="F66" s="6" t="str">
        <f aca="false">IF(E66="","",E66+ROUNDUP(G66,0)-1)</f>
        <v/>
      </c>
      <c r="G66" s="7" t="n">
        <v>1</v>
      </c>
      <c r="H66" s="3" t="s">
        <v>46</v>
      </c>
      <c r="I66" s="2" t="s">
        <v>14</v>
      </c>
      <c r="J66" s="8" t="n">
        <v>0</v>
      </c>
      <c r="K66" s="3"/>
    </row>
    <row r="67" customFormat="false" ht="30" hidden="false" customHeight="true" outlineLevel="0" collapsed="false">
      <c r="A67" s="9" t="n">
        <v>66</v>
      </c>
      <c r="B67" s="10" t="s">
        <v>113</v>
      </c>
      <c r="C67" s="10" t="s">
        <v>115</v>
      </c>
      <c r="D67" s="11"/>
      <c r="E67" s="12"/>
      <c r="F67" s="13" t="str">
        <f aca="false">IF(E67="","",E67+ROUNDUP(G67,0)-1)</f>
        <v/>
      </c>
      <c r="G67" s="14" t="n">
        <v>1</v>
      </c>
      <c r="H67" s="10" t="s">
        <v>46</v>
      </c>
      <c r="I67" s="9" t="s">
        <v>14</v>
      </c>
      <c r="J67" s="15" t="n">
        <v>0</v>
      </c>
      <c r="K67" s="10"/>
    </row>
    <row r="68" customFormat="false" ht="30" hidden="false" customHeight="true" outlineLevel="0" collapsed="false">
      <c r="A68" s="9" t="n">
        <v>67</v>
      </c>
      <c r="B68" s="10" t="s">
        <v>113</v>
      </c>
      <c r="C68" s="10" t="s">
        <v>116</v>
      </c>
      <c r="D68" s="11"/>
      <c r="E68" s="12"/>
      <c r="F68" s="13" t="str">
        <f aca="false">IF(E68="","",E68+ROUNDUP(G68,0)-1)</f>
        <v/>
      </c>
      <c r="G68" s="14" t="n">
        <v>3</v>
      </c>
      <c r="H68" s="10" t="s">
        <v>73</v>
      </c>
      <c r="I68" s="9" t="s">
        <v>14</v>
      </c>
      <c r="J68" s="15" t="n">
        <v>0</v>
      </c>
      <c r="K68" s="10" t="s">
        <v>117</v>
      </c>
    </row>
    <row r="69" customFormat="false" ht="30" hidden="false" customHeight="true" outlineLevel="0" collapsed="false">
      <c r="A69" s="9" t="n">
        <v>68</v>
      </c>
      <c r="B69" s="10" t="s">
        <v>113</v>
      </c>
      <c r="C69" s="10" t="s">
        <v>118</v>
      </c>
      <c r="D69" s="11"/>
      <c r="E69" s="12"/>
      <c r="F69" s="13" t="str">
        <f aca="false">IF(E69="","",E69+ROUNDUP(G69,0)-1)</f>
        <v/>
      </c>
      <c r="G69" s="14" t="n">
        <v>1</v>
      </c>
      <c r="H69" s="10" t="s">
        <v>73</v>
      </c>
      <c r="I69" s="9" t="s">
        <v>14</v>
      </c>
      <c r="J69" s="15" t="n">
        <v>0</v>
      </c>
      <c r="K69" s="10"/>
    </row>
    <row r="70" customFormat="false" ht="30" hidden="false" customHeight="true" outlineLevel="0" collapsed="false">
      <c r="A70" s="9" t="n">
        <v>69</v>
      </c>
      <c r="B70" s="10" t="s">
        <v>113</v>
      </c>
      <c r="C70" s="10" t="s">
        <v>119</v>
      </c>
      <c r="D70" s="11"/>
      <c r="E70" s="12"/>
      <c r="F70" s="13" t="str">
        <f aca="false">IF(E70="","",E70+ROUNDUP(G70,0)-1)</f>
        <v/>
      </c>
      <c r="G70" s="14" t="n">
        <v>1</v>
      </c>
      <c r="H70" s="10" t="s">
        <v>73</v>
      </c>
      <c r="I70" s="9" t="s">
        <v>14</v>
      </c>
      <c r="J70" s="15" t="n">
        <v>0</v>
      </c>
      <c r="K70" s="10"/>
    </row>
    <row r="71" customFormat="false" ht="30" hidden="false" customHeight="true" outlineLevel="0" collapsed="false">
      <c r="A71" s="9" t="n">
        <v>70</v>
      </c>
      <c r="B71" s="10" t="s">
        <v>113</v>
      </c>
      <c r="C71" s="10" t="s">
        <v>120</v>
      </c>
      <c r="D71" s="11"/>
      <c r="E71" s="12"/>
      <c r="F71" s="13" t="str">
        <f aca="false">IF(E71="","",E71+ROUNDUP(G71,0)-1)</f>
        <v/>
      </c>
      <c r="G71" s="14" t="n">
        <v>0.5</v>
      </c>
      <c r="H71" s="10" t="s">
        <v>73</v>
      </c>
      <c r="I71" s="9" t="s">
        <v>14</v>
      </c>
      <c r="J71" s="15" t="n">
        <v>0</v>
      </c>
      <c r="K71" s="10"/>
    </row>
    <row r="72" customFormat="false" ht="30" hidden="false" customHeight="true" outlineLevel="0" collapsed="false">
      <c r="A72" s="9" t="n">
        <v>71</v>
      </c>
      <c r="B72" s="10" t="s">
        <v>113</v>
      </c>
      <c r="C72" s="10" t="s">
        <v>121</v>
      </c>
      <c r="D72" s="11"/>
      <c r="E72" s="12"/>
      <c r="F72" s="13" t="str">
        <f aca="false">IF(E72="","",E72+ROUNDUP(G72,0)-1)</f>
        <v/>
      </c>
      <c r="G72" s="14" t="n">
        <v>2</v>
      </c>
      <c r="H72" s="10" t="s">
        <v>122</v>
      </c>
      <c r="I72" s="9" t="s">
        <v>14</v>
      </c>
      <c r="J72" s="15" t="n">
        <v>0</v>
      </c>
      <c r="K72" s="10"/>
    </row>
    <row r="73" customFormat="false" ht="30" hidden="false" customHeight="true" outlineLevel="0" collapsed="false">
      <c r="A73" s="9" t="n">
        <v>72</v>
      </c>
      <c r="B73" s="10" t="s">
        <v>113</v>
      </c>
      <c r="C73" s="10" t="s">
        <v>123</v>
      </c>
      <c r="D73" s="11"/>
      <c r="E73" s="12"/>
      <c r="F73" s="13" t="str">
        <f aca="false">IF(E73="","",E73+ROUNDUP(G73,0)-1)</f>
        <v/>
      </c>
      <c r="G73" s="14" t="n">
        <v>3</v>
      </c>
      <c r="H73" s="10" t="s">
        <v>73</v>
      </c>
      <c r="I73" s="9" t="s">
        <v>14</v>
      </c>
      <c r="J73" s="15" t="n">
        <v>0</v>
      </c>
      <c r="K73" s="10" t="s">
        <v>124</v>
      </c>
    </row>
    <row r="74" customFormat="false" ht="30" hidden="false" customHeight="true" outlineLevel="0" collapsed="false">
      <c r="A74" s="9" t="n">
        <v>73</v>
      </c>
      <c r="B74" s="10" t="s">
        <v>113</v>
      </c>
      <c r="C74" s="10" t="s">
        <v>125</v>
      </c>
      <c r="D74" s="11"/>
      <c r="E74" s="12"/>
      <c r="F74" s="13" t="str">
        <f aca="false">IF(E74="","",E74+ROUNDUP(G74,0)-1)</f>
        <v/>
      </c>
      <c r="G74" s="14" t="n">
        <v>1</v>
      </c>
      <c r="H74" s="10" t="s">
        <v>73</v>
      </c>
      <c r="I74" s="9" t="s">
        <v>14</v>
      </c>
      <c r="J74" s="15" t="n">
        <v>0</v>
      </c>
      <c r="K74" s="10"/>
    </row>
    <row r="75" customFormat="false" ht="30" hidden="false" customHeight="true" outlineLevel="0" collapsed="false">
      <c r="A75" s="9" t="n">
        <v>74</v>
      </c>
      <c r="B75" s="10" t="s">
        <v>113</v>
      </c>
      <c r="C75" s="10" t="s">
        <v>126</v>
      </c>
      <c r="D75" s="11"/>
      <c r="E75" s="12"/>
      <c r="F75" s="13" t="str">
        <f aca="false">IF(E75="","",E75+ROUNDUP(G75,0)-1)</f>
        <v/>
      </c>
      <c r="G75" s="14" t="n">
        <v>2</v>
      </c>
      <c r="H75" s="10" t="s">
        <v>122</v>
      </c>
      <c r="I75" s="9" t="s">
        <v>14</v>
      </c>
      <c r="J75" s="15" t="n">
        <v>0</v>
      </c>
      <c r="K75" s="10"/>
    </row>
    <row r="76" customFormat="false" ht="30" hidden="false" customHeight="true" outlineLevel="0" collapsed="false">
      <c r="A76" s="9" t="n">
        <v>75</v>
      </c>
      <c r="B76" s="10" t="s">
        <v>113</v>
      </c>
      <c r="C76" s="10" t="s">
        <v>127</v>
      </c>
      <c r="D76" s="11"/>
      <c r="E76" s="12"/>
      <c r="F76" s="13" t="str">
        <f aca="false">IF(E76="","",E76+ROUNDUP(G76,0)-1)</f>
        <v/>
      </c>
      <c r="G76" s="14" t="n">
        <v>3</v>
      </c>
      <c r="H76" s="10" t="s">
        <v>73</v>
      </c>
      <c r="I76" s="9" t="s">
        <v>14</v>
      </c>
      <c r="J76" s="15" t="n">
        <v>0</v>
      </c>
      <c r="K76" s="10" t="s">
        <v>124</v>
      </c>
    </row>
    <row r="77" customFormat="false" ht="30" hidden="false" customHeight="true" outlineLevel="0" collapsed="false">
      <c r="A77" s="9" t="n">
        <v>76</v>
      </c>
      <c r="B77" s="10" t="s">
        <v>113</v>
      </c>
      <c r="C77" s="10" t="s">
        <v>128</v>
      </c>
      <c r="D77" s="11"/>
      <c r="E77" s="12"/>
      <c r="F77" s="13" t="str">
        <f aca="false">IF(E77="","",E77+ROUNDUP(G77,0)-1)</f>
        <v/>
      </c>
      <c r="G77" s="14" t="n">
        <v>2</v>
      </c>
      <c r="H77" s="10" t="s">
        <v>73</v>
      </c>
      <c r="I77" s="9" t="s">
        <v>14</v>
      </c>
      <c r="J77" s="15" t="n">
        <v>0</v>
      </c>
      <c r="K77" s="10" t="s">
        <v>129</v>
      </c>
    </row>
    <row r="78" customFormat="false" ht="30" hidden="false" customHeight="true" outlineLevel="0" collapsed="false">
      <c r="A78" s="9" t="n">
        <v>77</v>
      </c>
      <c r="B78" s="10" t="s">
        <v>113</v>
      </c>
      <c r="C78" s="10" t="s">
        <v>130</v>
      </c>
      <c r="D78" s="11"/>
      <c r="E78" s="12"/>
      <c r="F78" s="13" t="str">
        <f aca="false">IF(E78="","",E78+ROUNDUP(G78,0)-1)</f>
        <v/>
      </c>
      <c r="G78" s="14" t="n">
        <v>1</v>
      </c>
      <c r="H78" s="10" t="s">
        <v>73</v>
      </c>
      <c r="I78" s="9" t="s">
        <v>14</v>
      </c>
      <c r="J78" s="15" t="n">
        <v>0</v>
      </c>
      <c r="K78" s="10"/>
    </row>
    <row r="79" customFormat="false" ht="30" hidden="false" customHeight="true" outlineLevel="0" collapsed="false">
      <c r="A79" s="9" t="n">
        <v>78</v>
      </c>
      <c r="B79" s="10" t="s">
        <v>113</v>
      </c>
      <c r="C79" s="10" t="s">
        <v>131</v>
      </c>
      <c r="D79" s="11"/>
      <c r="E79" s="12"/>
      <c r="F79" s="13" t="str">
        <f aca="false">IF(E79="","",E79+ROUNDUP(G79,0)-1)</f>
        <v/>
      </c>
      <c r="G79" s="14" t="n">
        <v>1</v>
      </c>
      <c r="H79" s="10" t="s">
        <v>73</v>
      </c>
      <c r="I79" s="9" t="s">
        <v>14</v>
      </c>
      <c r="J79" s="15" t="n">
        <v>0</v>
      </c>
      <c r="K79" s="10" t="s">
        <v>132</v>
      </c>
    </row>
    <row r="80" customFormat="false" ht="30" hidden="false" customHeight="true" outlineLevel="0" collapsed="false">
      <c r="A80" s="9" t="n">
        <v>79</v>
      </c>
      <c r="B80" s="10" t="s">
        <v>113</v>
      </c>
      <c r="C80" s="10" t="s">
        <v>133</v>
      </c>
      <c r="D80" s="11"/>
      <c r="E80" s="12"/>
      <c r="F80" s="13" t="str">
        <f aca="false">IF(E80="","",E80+ROUNDUP(G80,0)-1)</f>
        <v/>
      </c>
      <c r="G80" s="14" t="n">
        <v>0.5</v>
      </c>
      <c r="H80" s="10" t="s">
        <v>73</v>
      </c>
      <c r="I80" s="9" t="s">
        <v>14</v>
      </c>
      <c r="J80" s="15" t="n">
        <v>0</v>
      </c>
      <c r="K80" s="10"/>
    </row>
    <row r="81" customFormat="false" ht="30" hidden="false" customHeight="true" outlineLevel="0" collapsed="false">
      <c r="A81" s="9" t="n">
        <v>80</v>
      </c>
      <c r="B81" s="10" t="s">
        <v>113</v>
      </c>
      <c r="C81" s="10" t="s">
        <v>134</v>
      </c>
      <c r="D81" s="11"/>
      <c r="E81" s="12"/>
      <c r="F81" s="13" t="str">
        <f aca="false">IF(E81="","",E81+ROUNDUP(G81,0)-1)</f>
        <v/>
      </c>
      <c r="G81" s="14" t="n">
        <v>3</v>
      </c>
      <c r="H81" s="10" t="s">
        <v>73</v>
      </c>
      <c r="I81" s="9" t="s">
        <v>14</v>
      </c>
      <c r="J81" s="15" t="n">
        <v>0</v>
      </c>
      <c r="K81" s="10" t="s">
        <v>124</v>
      </c>
    </row>
    <row r="82" customFormat="false" ht="30" hidden="false" customHeight="true" outlineLevel="0" collapsed="false">
      <c r="A82" s="9" t="n">
        <v>81</v>
      </c>
      <c r="B82" s="10" t="s">
        <v>113</v>
      </c>
      <c r="C82" s="10" t="s">
        <v>135</v>
      </c>
      <c r="D82" s="11"/>
      <c r="E82" s="12"/>
      <c r="F82" s="13" t="str">
        <f aca="false">IF(E82="","",E82+ROUNDUP(G82,0)-1)</f>
        <v/>
      </c>
      <c r="G82" s="14" t="n">
        <v>1.5</v>
      </c>
      <c r="H82" s="10" t="s">
        <v>73</v>
      </c>
      <c r="I82" s="9" t="s">
        <v>14</v>
      </c>
      <c r="J82" s="15" t="n">
        <v>0</v>
      </c>
      <c r="K82" s="10"/>
    </row>
    <row r="83" customFormat="false" ht="30" hidden="false" customHeight="true" outlineLevel="0" collapsed="false">
      <c r="A83" s="9" t="n">
        <v>82</v>
      </c>
      <c r="B83" s="10" t="s">
        <v>113</v>
      </c>
      <c r="C83" s="10" t="s">
        <v>136</v>
      </c>
      <c r="D83" s="11"/>
      <c r="E83" s="12"/>
      <c r="F83" s="13" t="str">
        <f aca="false">IF(E83="","",E83+ROUNDUP(G83,0)-1)</f>
        <v/>
      </c>
      <c r="G83" s="14" t="n">
        <v>1.5</v>
      </c>
      <c r="H83" s="10" t="s">
        <v>73</v>
      </c>
      <c r="I83" s="9" t="s">
        <v>14</v>
      </c>
      <c r="J83" s="15" t="n">
        <v>0</v>
      </c>
      <c r="K83" s="10"/>
    </row>
    <row r="84" customFormat="false" ht="30" hidden="false" customHeight="true" outlineLevel="0" collapsed="false">
      <c r="A84" s="9" t="n">
        <v>83</v>
      </c>
      <c r="B84" s="10" t="s">
        <v>113</v>
      </c>
      <c r="C84" s="10" t="s">
        <v>137</v>
      </c>
      <c r="D84" s="11"/>
      <c r="E84" s="12"/>
      <c r="F84" s="13" t="str">
        <f aca="false">IF(E84="","",E84+ROUNDUP(G84,0)-1)</f>
        <v/>
      </c>
      <c r="G84" s="14" t="n">
        <v>1.5</v>
      </c>
      <c r="H84" s="10" t="s">
        <v>73</v>
      </c>
      <c r="I84" s="9" t="s">
        <v>14</v>
      </c>
      <c r="J84" s="15" t="n">
        <v>0</v>
      </c>
      <c r="K84" s="10"/>
    </row>
    <row r="85" customFormat="false" ht="30" hidden="false" customHeight="true" outlineLevel="0" collapsed="false">
      <c r="A85" s="9" t="n">
        <v>84</v>
      </c>
      <c r="B85" s="10" t="s">
        <v>113</v>
      </c>
      <c r="C85" s="10" t="s">
        <v>138</v>
      </c>
      <c r="D85" s="11"/>
      <c r="E85" s="12"/>
      <c r="F85" s="13" t="str">
        <f aca="false">IF(E85="","",E85+ROUNDUP(G85,0)-1)</f>
        <v/>
      </c>
      <c r="G85" s="14" t="n">
        <v>1</v>
      </c>
      <c r="H85" s="10" t="s">
        <v>73</v>
      </c>
      <c r="I85" s="9" t="s">
        <v>14</v>
      </c>
      <c r="J85" s="15" t="n">
        <v>0</v>
      </c>
      <c r="K85" s="10"/>
    </row>
    <row r="86" customFormat="false" ht="30" hidden="false" customHeight="true" outlineLevel="0" collapsed="false">
      <c r="A86" s="9" t="n">
        <v>85</v>
      </c>
      <c r="B86" s="10" t="s">
        <v>113</v>
      </c>
      <c r="C86" s="10" t="s">
        <v>139</v>
      </c>
      <c r="D86" s="11"/>
      <c r="E86" s="12"/>
      <c r="F86" s="13" t="str">
        <f aca="false">IF(E86="","",E86+ROUNDUP(G86,0)-1)</f>
        <v/>
      </c>
      <c r="G86" s="14" t="n">
        <v>0.5</v>
      </c>
      <c r="H86" s="10" t="s">
        <v>73</v>
      </c>
      <c r="I86" s="9" t="s">
        <v>14</v>
      </c>
      <c r="J86" s="15" t="n">
        <v>0</v>
      </c>
      <c r="K86" s="10"/>
    </row>
    <row r="87" customFormat="false" ht="30" hidden="false" customHeight="true" outlineLevel="0" collapsed="false">
      <c r="A87" s="9" t="n">
        <v>86</v>
      </c>
      <c r="B87" s="10" t="s">
        <v>113</v>
      </c>
      <c r="C87" s="10" t="s">
        <v>140</v>
      </c>
      <c r="D87" s="11"/>
      <c r="E87" s="12"/>
      <c r="F87" s="13" t="str">
        <f aca="false">IF(E87="","",E87+ROUNDUP(G87,0)-1)</f>
        <v/>
      </c>
      <c r="G87" s="14" t="n">
        <v>0.5</v>
      </c>
      <c r="H87" s="10" t="s">
        <v>73</v>
      </c>
      <c r="I87" s="9" t="s">
        <v>14</v>
      </c>
      <c r="J87" s="15" t="n">
        <v>0</v>
      </c>
      <c r="K87" s="10"/>
    </row>
    <row r="88" customFormat="false" ht="30" hidden="false" customHeight="true" outlineLevel="0" collapsed="false">
      <c r="A88" s="9" t="n">
        <v>87</v>
      </c>
      <c r="B88" s="10" t="s">
        <v>113</v>
      </c>
      <c r="C88" s="10" t="s">
        <v>141</v>
      </c>
      <c r="D88" s="11"/>
      <c r="E88" s="12"/>
      <c r="F88" s="13" t="str">
        <f aca="false">IF(E88="","",E88+ROUNDUP(G88,0)-1)</f>
        <v/>
      </c>
      <c r="G88" s="14" t="n">
        <v>2.5</v>
      </c>
      <c r="H88" s="10" t="s">
        <v>73</v>
      </c>
      <c r="I88" s="9" t="s">
        <v>14</v>
      </c>
      <c r="J88" s="15" t="n">
        <v>0</v>
      </c>
      <c r="K88" s="10" t="s">
        <v>124</v>
      </c>
    </row>
    <row r="89" customFormat="false" ht="30" hidden="false" customHeight="true" outlineLevel="0" collapsed="false">
      <c r="A89" s="9" t="n">
        <v>88</v>
      </c>
      <c r="B89" s="10" t="s">
        <v>113</v>
      </c>
      <c r="C89" s="10" t="s">
        <v>142</v>
      </c>
      <c r="D89" s="11"/>
      <c r="E89" s="12"/>
      <c r="F89" s="13" t="str">
        <f aca="false">IF(E89="","",E89+ROUNDUP(G89,0)-1)</f>
        <v/>
      </c>
      <c r="G89" s="14" t="n">
        <v>1</v>
      </c>
      <c r="H89" s="10" t="s">
        <v>73</v>
      </c>
      <c r="I89" s="9" t="s">
        <v>14</v>
      </c>
      <c r="J89" s="15" t="n">
        <v>0</v>
      </c>
      <c r="K89" s="10"/>
    </row>
    <row r="90" customFormat="false" ht="30" hidden="false" customHeight="true" outlineLevel="0" collapsed="false">
      <c r="A90" s="9" t="n">
        <v>89</v>
      </c>
      <c r="B90" s="10" t="s">
        <v>113</v>
      </c>
      <c r="C90" s="10" t="s">
        <v>143</v>
      </c>
      <c r="D90" s="11"/>
      <c r="E90" s="12"/>
      <c r="F90" s="13" t="str">
        <f aca="false">IF(E90="","",E90+ROUNDUP(G90,0)-1)</f>
        <v/>
      </c>
      <c r="G90" s="14" t="n">
        <v>1</v>
      </c>
      <c r="H90" s="10" t="s">
        <v>73</v>
      </c>
      <c r="I90" s="9" t="s">
        <v>14</v>
      </c>
      <c r="J90" s="15" t="n">
        <v>0</v>
      </c>
      <c r="K90" s="10"/>
    </row>
    <row r="91" customFormat="false" ht="30" hidden="false" customHeight="true" outlineLevel="0" collapsed="false">
      <c r="A91" s="9" t="n">
        <v>90</v>
      </c>
      <c r="B91" s="10" t="s">
        <v>113</v>
      </c>
      <c r="C91" s="10" t="s">
        <v>144</v>
      </c>
      <c r="D91" s="11"/>
      <c r="E91" s="12"/>
      <c r="F91" s="13" t="str">
        <f aca="false">IF(E91="","",E91+ROUNDUP(G91,0)-1)</f>
        <v/>
      </c>
      <c r="G91" s="14" t="n">
        <v>0.5</v>
      </c>
      <c r="H91" s="10" t="s">
        <v>73</v>
      </c>
      <c r="I91" s="9" t="s">
        <v>14</v>
      </c>
      <c r="J91" s="15" t="n">
        <v>0</v>
      </c>
      <c r="K91" s="10"/>
    </row>
    <row r="92" customFormat="false" ht="30" hidden="false" customHeight="true" outlineLevel="0" collapsed="false">
      <c r="A92" s="9" t="n">
        <v>91</v>
      </c>
      <c r="B92" s="10" t="s">
        <v>113</v>
      </c>
      <c r="C92" s="10" t="s">
        <v>145</v>
      </c>
      <c r="D92" s="11"/>
      <c r="E92" s="12"/>
      <c r="F92" s="13" t="str">
        <f aca="false">IF(E92="","",E92+ROUNDUP(G92,0)-1)</f>
        <v/>
      </c>
      <c r="G92" s="14" t="n">
        <v>1</v>
      </c>
      <c r="H92" s="10" t="s">
        <v>73</v>
      </c>
      <c r="I92" s="9" t="s">
        <v>14</v>
      </c>
      <c r="J92" s="15" t="n">
        <v>0</v>
      </c>
      <c r="K92" s="10"/>
    </row>
    <row r="93" customFormat="false" ht="30" hidden="false" customHeight="true" outlineLevel="0" collapsed="false">
      <c r="A93" s="9" t="n">
        <v>92</v>
      </c>
      <c r="B93" s="10" t="s">
        <v>113</v>
      </c>
      <c r="C93" s="10" t="s">
        <v>146</v>
      </c>
      <c r="D93" s="11"/>
      <c r="E93" s="12"/>
      <c r="F93" s="13" t="str">
        <f aca="false">IF(E93="","",E93+ROUNDUP(G93,0)-1)</f>
        <v/>
      </c>
      <c r="G93" s="14" t="n">
        <v>0.5</v>
      </c>
      <c r="H93" s="10" t="s">
        <v>73</v>
      </c>
      <c r="I93" s="9" t="s">
        <v>14</v>
      </c>
      <c r="J93" s="15" t="n">
        <v>0</v>
      </c>
      <c r="K93" s="10"/>
    </row>
    <row r="94" customFormat="false" ht="30" hidden="false" customHeight="true" outlineLevel="0" collapsed="false">
      <c r="A94" s="9" t="n">
        <v>93</v>
      </c>
      <c r="B94" s="10" t="s">
        <v>113</v>
      </c>
      <c r="C94" s="10" t="s">
        <v>147</v>
      </c>
      <c r="D94" s="11"/>
      <c r="E94" s="12"/>
      <c r="F94" s="13" t="str">
        <f aca="false">IF(E94="","",E94+ROUNDUP(G94,0)-1)</f>
        <v/>
      </c>
      <c r="G94" s="14" t="n">
        <v>0.5</v>
      </c>
      <c r="H94" s="10" t="s">
        <v>73</v>
      </c>
      <c r="I94" s="9" t="s">
        <v>14</v>
      </c>
      <c r="J94" s="15" t="n">
        <v>0</v>
      </c>
      <c r="K94" s="10"/>
    </row>
    <row r="95" customFormat="false" ht="30" hidden="false" customHeight="true" outlineLevel="0" collapsed="false">
      <c r="A95" s="9" t="n">
        <v>94</v>
      </c>
      <c r="B95" s="10" t="s">
        <v>113</v>
      </c>
      <c r="C95" s="10" t="s">
        <v>148</v>
      </c>
      <c r="D95" s="11"/>
      <c r="E95" s="12"/>
      <c r="F95" s="13" t="str">
        <f aca="false">IF(E95="","",E95+ROUNDUP(G95,0)-1)</f>
        <v/>
      </c>
      <c r="G95" s="14" t="n">
        <v>2</v>
      </c>
      <c r="H95" s="10" t="s">
        <v>122</v>
      </c>
      <c r="I95" s="9" t="s">
        <v>14</v>
      </c>
      <c r="J95" s="15" t="n">
        <v>0</v>
      </c>
      <c r="K95" s="10"/>
    </row>
    <row r="96" customFormat="false" ht="30" hidden="false" customHeight="true" outlineLevel="0" collapsed="false">
      <c r="A96" s="9" t="n">
        <v>95</v>
      </c>
      <c r="B96" s="10" t="s">
        <v>113</v>
      </c>
      <c r="C96" s="10" t="s">
        <v>149</v>
      </c>
      <c r="D96" s="11"/>
      <c r="E96" s="12"/>
      <c r="F96" s="13" t="str">
        <f aca="false">IF(E96="","",E96+ROUNDUP(G96,0)-1)</f>
        <v/>
      </c>
      <c r="G96" s="14" t="n">
        <v>2</v>
      </c>
      <c r="H96" s="10" t="s">
        <v>122</v>
      </c>
      <c r="I96" s="9" t="s">
        <v>14</v>
      </c>
      <c r="J96" s="15" t="n">
        <v>0</v>
      </c>
      <c r="K96" s="10"/>
    </row>
    <row r="97" customFormat="false" ht="30" hidden="false" customHeight="true" outlineLevel="0" collapsed="false">
      <c r="A97" s="9" t="n">
        <v>96</v>
      </c>
      <c r="B97" s="10" t="s">
        <v>113</v>
      </c>
      <c r="C97" s="10" t="s">
        <v>150</v>
      </c>
      <c r="D97" s="11"/>
      <c r="E97" s="12"/>
      <c r="F97" s="13" t="str">
        <f aca="false">IF(E97="","",E97+ROUNDUP(G97,0)-1)</f>
        <v/>
      </c>
      <c r="G97" s="14" t="n">
        <v>1</v>
      </c>
      <c r="H97" s="10" t="s">
        <v>122</v>
      </c>
      <c r="I97" s="9" t="s">
        <v>14</v>
      </c>
      <c r="J97" s="15" t="n">
        <v>0</v>
      </c>
      <c r="K97" s="10"/>
    </row>
    <row r="98" customFormat="false" ht="30" hidden="false" customHeight="true" outlineLevel="0" collapsed="false">
      <c r="A98" s="9" t="n">
        <v>97</v>
      </c>
      <c r="B98" s="10" t="s">
        <v>113</v>
      </c>
      <c r="C98" s="10" t="s">
        <v>151</v>
      </c>
      <c r="D98" s="11"/>
      <c r="E98" s="12"/>
      <c r="F98" s="13" t="str">
        <f aca="false">IF(E98="","",E98+ROUNDUP(G98,0)-1)</f>
        <v/>
      </c>
      <c r="G98" s="14" t="n">
        <v>0.5</v>
      </c>
      <c r="H98" s="10" t="s">
        <v>122</v>
      </c>
      <c r="I98" s="9" t="s">
        <v>14</v>
      </c>
      <c r="J98" s="15" t="n">
        <v>0</v>
      </c>
      <c r="K98" s="10"/>
    </row>
    <row r="99" customFormat="false" ht="30" hidden="false" customHeight="true" outlineLevel="0" collapsed="false">
      <c r="A99" s="9" t="n">
        <v>98</v>
      </c>
      <c r="B99" s="10" t="s">
        <v>113</v>
      </c>
      <c r="C99" s="10" t="s">
        <v>152</v>
      </c>
      <c r="D99" s="11"/>
      <c r="E99" s="12"/>
      <c r="F99" s="13" t="str">
        <f aca="false">IF(E99="","",E99+ROUNDUP(G99,0)-1)</f>
        <v/>
      </c>
      <c r="G99" s="14" t="n">
        <v>1</v>
      </c>
      <c r="H99" s="10" t="s">
        <v>122</v>
      </c>
      <c r="I99" s="9" t="s">
        <v>14</v>
      </c>
      <c r="J99" s="15" t="n">
        <v>0</v>
      </c>
      <c r="K99" s="10"/>
    </row>
    <row r="100" customFormat="false" ht="30" hidden="false" customHeight="true" outlineLevel="0" collapsed="false">
      <c r="A100" s="2" t="n">
        <v>99</v>
      </c>
      <c r="B100" s="3" t="s">
        <v>153</v>
      </c>
      <c r="C100" s="3" t="s">
        <v>154</v>
      </c>
      <c r="D100" s="4"/>
      <c r="E100" s="5"/>
      <c r="F100" s="6" t="str">
        <f aca="false">IF(E100="","",E100+ROUNDUP(G100,0)-1)</f>
        <v/>
      </c>
      <c r="G100" s="7" t="n">
        <v>1.5</v>
      </c>
      <c r="H100" s="3" t="s">
        <v>155</v>
      </c>
      <c r="I100" s="2" t="s">
        <v>14</v>
      </c>
      <c r="J100" s="8" t="n">
        <v>0</v>
      </c>
      <c r="K100" s="3"/>
    </row>
    <row r="101" customFormat="false" ht="30" hidden="false" customHeight="true" outlineLevel="0" collapsed="false">
      <c r="A101" s="9" t="n">
        <v>100</v>
      </c>
      <c r="B101" s="10" t="s">
        <v>153</v>
      </c>
      <c r="C101" s="10" t="s">
        <v>156</v>
      </c>
      <c r="D101" s="11"/>
      <c r="E101" s="12"/>
      <c r="F101" s="13" t="str">
        <f aca="false">IF(E101="","",E101+ROUNDUP(G101,0)-1)</f>
        <v/>
      </c>
      <c r="G101" s="14" t="n">
        <v>2</v>
      </c>
      <c r="H101" s="10" t="s">
        <v>155</v>
      </c>
      <c r="I101" s="9" t="s">
        <v>14</v>
      </c>
      <c r="J101" s="15" t="n">
        <v>0</v>
      </c>
      <c r="K101" s="10"/>
    </row>
    <row r="102" customFormat="false" ht="30" hidden="false" customHeight="true" outlineLevel="0" collapsed="false">
      <c r="A102" s="9" t="n">
        <v>101</v>
      </c>
      <c r="B102" s="10" t="s">
        <v>153</v>
      </c>
      <c r="C102" s="10" t="s">
        <v>157</v>
      </c>
      <c r="D102" s="11"/>
      <c r="E102" s="12"/>
      <c r="F102" s="13" t="str">
        <f aca="false">IF(E102="","",E102+ROUNDUP(G102,0)-1)</f>
        <v/>
      </c>
      <c r="G102" s="14" t="n">
        <v>2.5</v>
      </c>
      <c r="H102" s="10" t="s">
        <v>155</v>
      </c>
      <c r="I102" s="9" t="s">
        <v>14</v>
      </c>
      <c r="J102" s="15" t="n">
        <v>0</v>
      </c>
      <c r="K102" s="10"/>
    </row>
    <row r="103" customFormat="false" ht="30" hidden="false" customHeight="true" outlineLevel="0" collapsed="false">
      <c r="A103" s="9" t="n">
        <v>102</v>
      </c>
      <c r="B103" s="10" t="s">
        <v>153</v>
      </c>
      <c r="C103" s="10" t="s">
        <v>158</v>
      </c>
      <c r="D103" s="11"/>
      <c r="E103" s="12"/>
      <c r="F103" s="13" t="str">
        <f aca="false">IF(E103="","",E103+ROUNDUP(G103,0)-1)</f>
        <v/>
      </c>
      <c r="G103" s="14" t="n">
        <v>2</v>
      </c>
      <c r="H103" s="10" t="s">
        <v>155</v>
      </c>
      <c r="I103" s="9" t="s">
        <v>14</v>
      </c>
      <c r="J103" s="15" t="n">
        <v>0</v>
      </c>
      <c r="K103" s="10" t="s">
        <v>159</v>
      </c>
    </row>
    <row r="104" customFormat="false" ht="30" hidden="false" customHeight="true" outlineLevel="0" collapsed="false">
      <c r="A104" s="9" t="n">
        <v>103</v>
      </c>
      <c r="B104" s="10" t="s">
        <v>153</v>
      </c>
      <c r="C104" s="10" t="s">
        <v>160</v>
      </c>
      <c r="D104" s="11"/>
      <c r="E104" s="12"/>
      <c r="F104" s="13" t="str">
        <f aca="false">IF(E104="","",E104+ROUNDUP(G104,0)-1)</f>
        <v/>
      </c>
      <c r="G104" s="14" t="n">
        <v>2</v>
      </c>
      <c r="H104" s="10" t="s">
        <v>155</v>
      </c>
      <c r="I104" s="9" t="s">
        <v>14</v>
      </c>
      <c r="J104" s="15" t="n">
        <v>0</v>
      </c>
      <c r="K104" s="10"/>
    </row>
    <row r="105" customFormat="false" ht="30" hidden="false" customHeight="true" outlineLevel="0" collapsed="false">
      <c r="A105" s="9" t="n">
        <v>104</v>
      </c>
      <c r="B105" s="10" t="s">
        <v>153</v>
      </c>
      <c r="C105" s="10" t="s">
        <v>161</v>
      </c>
      <c r="D105" s="11"/>
      <c r="E105" s="12"/>
      <c r="F105" s="13" t="str">
        <f aca="false">IF(E105="","",E105+ROUNDUP(G105,0)-1)</f>
        <v/>
      </c>
      <c r="G105" s="14" t="n">
        <v>2</v>
      </c>
      <c r="H105" s="10" t="s">
        <v>155</v>
      </c>
      <c r="I105" s="9" t="s">
        <v>14</v>
      </c>
      <c r="J105" s="15" t="n">
        <v>0</v>
      </c>
      <c r="K105" s="10" t="s">
        <v>162</v>
      </c>
    </row>
    <row r="106" customFormat="false" ht="30" hidden="false" customHeight="true" outlineLevel="0" collapsed="false">
      <c r="A106" s="9" t="n">
        <v>105</v>
      </c>
      <c r="B106" s="10" t="s">
        <v>153</v>
      </c>
      <c r="C106" s="10" t="s">
        <v>163</v>
      </c>
      <c r="D106" s="11"/>
      <c r="E106" s="12"/>
      <c r="F106" s="13" t="str">
        <f aca="false">IF(E106="","",E106+ROUNDUP(G106,0)-1)</f>
        <v/>
      </c>
      <c r="G106" s="14" t="n">
        <v>0.5</v>
      </c>
      <c r="H106" s="10" t="s">
        <v>155</v>
      </c>
      <c r="I106" s="9" t="s">
        <v>14</v>
      </c>
      <c r="J106" s="15" t="n">
        <v>0</v>
      </c>
      <c r="K106" s="10"/>
    </row>
    <row r="107" customFormat="false" ht="30" hidden="false" customHeight="true" outlineLevel="0" collapsed="false">
      <c r="A107" s="9" t="n">
        <v>106</v>
      </c>
      <c r="B107" s="10" t="s">
        <v>153</v>
      </c>
      <c r="C107" s="10" t="s">
        <v>164</v>
      </c>
      <c r="D107" s="11"/>
      <c r="E107" s="12"/>
      <c r="F107" s="13" t="str">
        <f aca="false">IF(E107="","",E107+ROUNDUP(G107,0)-1)</f>
        <v/>
      </c>
      <c r="G107" s="14" t="n">
        <v>1.5</v>
      </c>
      <c r="H107" s="10" t="s">
        <v>155</v>
      </c>
      <c r="I107" s="9" t="s">
        <v>14</v>
      </c>
      <c r="J107" s="15" t="n">
        <v>0</v>
      </c>
      <c r="K107" s="10"/>
    </row>
    <row r="108" customFormat="false" ht="30" hidden="false" customHeight="true" outlineLevel="0" collapsed="false">
      <c r="A108" s="9" t="n">
        <v>107</v>
      </c>
      <c r="B108" s="10" t="s">
        <v>153</v>
      </c>
      <c r="C108" s="10" t="s">
        <v>165</v>
      </c>
      <c r="D108" s="11"/>
      <c r="E108" s="12"/>
      <c r="F108" s="13" t="str">
        <f aca="false">IF(E108="","",E108+ROUNDUP(G108,0)-1)</f>
        <v/>
      </c>
      <c r="G108" s="14" t="n">
        <v>1</v>
      </c>
      <c r="H108" s="10" t="s">
        <v>155</v>
      </c>
      <c r="I108" s="9" t="s">
        <v>14</v>
      </c>
      <c r="J108" s="15" t="n">
        <v>0</v>
      </c>
      <c r="K108" s="10"/>
    </row>
    <row r="109" customFormat="false" ht="30" hidden="false" customHeight="true" outlineLevel="0" collapsed="false">
      <c r="A109" s="9" t="n">
        <v>108</v>
      </c>
      <c r="B109" s="10" t="s">
        <v>153</v>
      </c>
      <c r="C109" s="10" t="s">
        <v>166</v>
      </c>
      <c r="D109" s="11"/>
      <c r="E109" s="12"/>
      <c r="F109" s="13" t="str">
        <f aca="false">IF(E109="","",E109+ROUNDUP(G109,0)-1)</f>
        <v/>
      </c>
      <c r="G109" s="14" t="n">
        <v>2</v>
      </c>
      <c r="H109" s="10" t="s">
        <v>111</v>
      </c>
      <c r="I109" s="9" t="s">
        <v>14</v>
      </c>
      <c r="J109" s="15" t="n">
        <v>0</v>
      </c>
      <c r="K109" s="10"/>
    </row>
    <row r="110" customFormat="false" ht="30" hidden="false" customHeight="true" outlineLevel="0" collapsed="false">
      <c r="A110" s="9" t="n">
        <v>109</v>
      </c>
      <c r="B110" s="10" t="s">
        <v>153</v>
      </c>
      <c r="C110" s="10" t="s">
        <v>167</v>
      </c>
      <c r="D110" s="11"/>
      <c r="E110" s="12"/>
      <c r="F110" s="13" t="str">
        <f aca="false">IF(E110="","",E110+ROUNDUP(G110,0)-1)</f>
        <v/>
      </c>
      <c r="G110" s="14" t="n">
        <v>2</v>
      </c>
      <c r="H110" s="10" t="s">
        <v>111</v>
      </c>
      <c r="I110" s="9" t="s">
        <v>14</v>
      </c>
      <c r="J110" s="15" t="n">
        <v>0</v>
      </c>
      <c r="K110" s="10"/>
    </row>
    <row r="111" customFormat="false" ht="30" hidden="false" customHeight="true" outlineLevel="0" collapsed="false">
      <c r="A111" s="9" t="n">
        <v>110</v>
      </c>
      <c r="B111" s="10" t="s">
        <v>153</v>
      </c>
      <c r="C111" s="10" t="s">
        <v>168</v>
      </c>
      <c r="D111" s="11"/>
      <c r="E111" s="12"/>
      <c r="F111" s="13" t="str">
        <f aca="false">IF(E111="","",E111+ROUNDUP(G111,0)-1)</f>
        <v/>
      </c>
      <c r="G111" s="14" t="n">
        <v>1.5</v>
      </c>
      <c r="H111" s="10" t="s">
        <v>111</v>
      </c>
      <c r="I111" s="9" t="s">
        <v>14</v>
      </c>
      <c r="J111" s="15" t="n">
        <v>0</v>
      </c>
      <c r="K111" s="10" t="s">
        <v>169</v>
      </c>
    </row>
    <row r="112" customFormat="false" ht="30" hidden="false" customHeight="true" outlineLevel="0" collapsed="false">
      <c r="A112" s="9" t="n">
        <v>111</v>
      </c>
      <c r="B112" s="10" t="s">
        <v>153</v>
      </c>
      <c r="C112" s="10" t="s">
        <v>170</v>
      </c>
      <c r="D112" s="11"/>
      <c r="E112" s="12"/>
      <c r="F112" s="13" t="str">
        <f aca="false">IF(E112="","",E112+ROUNDUP(G112,0)-1)</f>
        <v/>
      </c>
      <c r="G112" s="14" t="n">
        <v>1</v>
      </c>
      <c r="H112" s="10" t="s">
        <v>111</v>
      </c>
      <c r="I112" s="9" t="s">
        <v>14</v>
      </c>
      <c r="J112" s="15" t="n">
        <v>0</v>
      </c>
      <c r="K112" s="10"/>
    </row>
    <row r="113" customFormat="false" ht="30" hidden="false" customHeight="true" outlineLevel="0" collapsed="false">
      <c r="A113" s="2" t="n">
        <v>112</v>
      </c>
      <c r="B113" s="3" t="s">
        <v>171</v>
      </c>
      <c r="C113" s="3" t="s">
        <v>172</v>
      </c>
      <c r="D113" s="4"/>
      <c r="E113" s="5"/>
      <c r="F113" s="6" t="str">
        <f aca="false">IF(E113="","",E113+ROUNDUP(G113,0)-1)</f>
        <v/>
      </c>
      <c r="G113" s="7" t="n">
        <v>2</v>
      </c>
      <c r="H113" s="3" t="s">
        <v>64</v>
      </c>
      <c r="I113" s="2" t="s">
        <v>14</v>
      </c>
      <c r="J113" s="8" t="n">
        <v>0</v>
      </c>
      <c r="K113" s="3"/>
    </row>
    <row r="114" customFormat="false" ht="30" hidden="false" customHeight="true" outlineLevel="0" collapsed="false">
      <c r="A114" s="9" t="n">
        <v>113</v>
      </c>
      <c r="B114" s="10" t="s">
        <v>171</v>
      </c>
      <c r="C114" s="10" t="s">
        <v>173</v>
      </c>
      <c r="D114" s="11"/>
      <c r="E114" s="12"/>
      <c r="F114" s="13" t="str">
        <f aca="false">IF(E114="","",E114+ROUNDUP(G114,0)-1)</f>
        <v/>
      </c>
      <c r="G114" s="14" t="n">
        <v>1.5</v>
      </c>
      <c r="H114" s="10" t="s">
        <v>64</v>
      </c>
      <c r="I114" s="9" t="s">
        <v>14</v>
      </c>
      <c r="J114" s="15" t="n">
        <v>0</v>
      </c>
      <c r="K114" s="10"/>
    </row>
    <row r="115" customFormat="false" ht="30" hidden="false" customHeight="true" outlineLevel="0" collapsed="false">
      <c r="A115" s="9" t="n">
        <v>114</v>
      </c>
      <c r="B115" s="10" t="s">
        <v>171</v>
      </c>
      <c r="C115" s="10" t="s">
        <v>174</v>
      </c>
      <c r="D115" s="11"/>
      <c r="E115" s="12"/>
      <c r="F115" s="13" t="str">
        <f aca="false">IF(E115="","",E115+ROUNDUP(G115,0)-1)</f>
        <v/>
      </c>
      <c r="G115" s="14" t="n">
        <v>1</v>
      </c>
      <c r="H115" s="10" t="s">
        <v>30</v>
      </c>
      <c r="I115" s="9" t="s">
        <v>14</v>
      </c>
      <c r="J115" s="15" t="n">
        <v>0</v>
      </c>
      <c r="K115" s="10"/>
    </row>
    <row r="116" customFormat="false" ht="30" hidden="false" customHeight="true" outlineLevel="0" collapsed="false">
      <c r="A116" s="9" t="n">
        <v>115</v>
      </c>
      <c r="B116" s="10" t="s">
        <v>171</v>
      </c>
      <c r="C116" s="10" t="s">
        <v>175</v>
      </c>
      <c r="D116" s="11"/>
      <c r="E116" s="12"/>
      <c r="F116" s="13" t="str">
        <f aca="false">IF(E116="","",E116+ROUNDUP(G116,0)-1)</f>
        <v/>
      </c>
      <c r="G116" s="14" t="n">
        <v>0.5</v>
      </c>
      <c r="H116" s="10" t="s">
        <v>30</v>
      </c>
      <c r="I116" s="9" t="s">
        <v>14</v>
      </c>
      <c r="J116" s="15" t="n">
        <v>0</v>
      </c>
      <c r="K116" s="10"/>
    </row>
    <row r="117" customFormat="false" ht="30" hidden="false" customHeight="true" outlineLevel="0" collapsed="false">
      <c r="A117" s="9" t="n">
        <v>116</v>
      </c>
      <c r="B117" s="10" t="s">
        <v>171</v>
      </c>
      <c r="C117" s="10" t="s">
        <v>176</v>
      </c>
      <c r="D117" s="11"/>
      <c r="E117" s="12"/>
      <c r="F117" s="13" t="str">
        <f aca="false">IF(E117="","",E117+ROUNDUP(G117,0)-1)</f>
        <v/>
      </c>
      <c r="G117" s="14" t="n">
        <v>1</v>
      </c>
      <c r="H117" s="10" t="s">
        <v>30</v>
      </c>
      <c r="I117" s="9" t="s">
        <v>14</v>
      </c>
      <c r="J117" s="15" t="n">
        <v>0</v>
      </c>
      <c r="K117" s="10"/>
    </row>
    <row r="118" customFormat="false" ht="30" hidden="false" customHeight="true" outlineLevel="0" collapsed="false">
      <c r="A118" s="9" t="n">
        <v>117</v>
      </c>
      <c r="B118" s="10" t="s">
        <v>171</v>
      </c>
      <c r="C118" s="10" t="s">
        <v>177</v>
      </c>
      <c r="D118" s="11"/>
      <c r="E118" s="12"/>
      <c r="F118" s="13" t="str">
        <f aca="false">IF(E118="","",E118+ROUNDUP(G118,0)-1)</f>
        <v/>
      </c>
      <c r="G118" s="14" t="n">
        <v>1.5</v>
      </c>
      <c r="H118" s="10" t="s">
        <v>64</v>
      </c>
      <c r="I118" s="9" t="s">
        <v>14</v>
      </c>
      <c r="J118" s="15" t="n">
        <v>0</v>
      </c>
      <c r="K118" s="10"/>
    </row>
    <row r="119" customFormat="false" ht="30" hidden="false" customHeight="true" outlineLevel="0" collapsed="false">
      <c r="A119" s="9" t="n">
        <v>118</v>
      </c>
      <c r="B119" s="10" t="s">
        <v>171</v>
      </c>
      <c r="C119" s="10" t="s">
        <v>178</v>
      </c>
      <c r="D119" s="11"/>
      <c r="E119" s="12"/>
      <c r="F119" s="13" t="str">
        <f aca="false">IF(E119="","",E119+ROUNDUP(G119,0)-1)</f>
        <v/>
      </c>
      <c r="G119" s="14" t="n">
        <v>1</v>
      </c>
      <c r="H119" s="10" t="s">
        <v>30</v>
      </c>
      <c r="I119" s="9" t="s">
        <v>14</v>
      </c>
      <c r="J119" s="15" t="n">
        <v>0</v>
      </c>
      <c r="K119" s="10"/>
    </row>
    <row r="120" customFormat="false" ht="30" hidden="false" customHeight="true" outlineLevel="0" collapsed="false">
      <c r="A120" s="9" t="n">
        <v>119</v>
      </c>
      <c r="B120" s="10" t="s">
        <v>171</v>
      </c>
      <c r="C120" s="10" t="s">
        <v>179</v>
      </c>
      <c r="D120" s="11"/>
      <c r="E120" s="12"/>
      <c r="F120" s="13" t="str">
        <f aca="false">IF(E120="","",E120+ROUNDUP(G120,0)-1)</f>
        <v/>
      </c>
      <c r="G120" s="14" t="n">
        <v>0.5</v>
      </c>
      <c r="H120" s="10" t="s">
        <v>64</v>
      </c>
      <c r="I120" s="9" t="s">
        <v>14</v>
      </c>
      <c r="J120" s="15" t="n">
        <v>0</v>
      </c>
      <c r="K120" s="10"/>
    </row>
    <row r="121" customFormat="false" ht="30" hidden="false" customHeight="true" outlineLevel="0" collapsed="false">
      <c r="A121" s="9" t="n">
        <v>120</v>
      </c>
      <c r="B121" s="10" t="s">
        <v>171</v>
      </c>
      <c r="C121" s="10" t="s">
        <v>180</v>
      </c>
      <c r="D121" s="11"/>
      <c r="E121" s="12"/>
      <c r="F121" s="13" t="str">
        <f aca="false">IF(E121="","",E121+ROUNDUP(G121,0)-1)</f>
        <v/>
      </c>
      <c r="G121" s="14" t="n">
        <v>0.5</v>
      </c>
      <c r="H121" s="10" t="s">
        <v>30</v>
      </c>
      <c r="I121" s="9" t="s">
        <v>14</v>
      </c>
      <c r="J121" s="15" t="n">
        <v>0</v>
      </c>
      <c r="K121" s="10"/>
    </row>
    <row r="122" customFormat="false" ht="30" hidden="false" customHeight="true" outlineLevel="0" collapsed="false">
      <c r="A122" s="9" t="n">
        <v>121</v>
      </c>
      <c r="B122" s="10" t="s">
        <v>171</v>
      </c>
      <c r="C122" s="10" t="s">
        <v>181</v>
      </c>
      <c r="D122" s="11"/>
      <c r="E122" s="12"/>
      <c r="F122" s="13" t="str">
        <f aca="false">IF(E122="","",E122+ROUNDUP(G122,0)-1)</f>
        <v/>
      </c>
      <c r="G122" s="14" t="n">
        <v>0.5</v>
      </c>
      <c r="H122" s="10" t="s">
        <v>24</v>
      </c>
      <c r="I122" s="9" t="s">
        <v>14</v>
      </c>
      <c r="J122" s="15" t="n">
        <v>0</v>
      </c>
      <c r="K122" s="10" t="s">
        <v>182</v>
      </c>
    </row>
    <row r="123" customFormat="false" ht="30" hidden="false" customHeight="true" outlineLevel="0" collapsed="false">
      <c r="A123" s="9" t="n">
        <v>122</v>
      </c>
      <c r="B123" s="10" t="s">
        <v>171</v>
      </c>
      <c r="C123" s="10" t="s">
        <v>183</v>
      </c>
      <c r="D123" s="11"/>
      <c r="E123" s="12"/>
      <c r="F123" s="13" t="str">
        <f aca="false">IF(E123="","",E123+ROUNDUP(G123,0)-1)</f>
        <v/>
      </c>
      <c r="G123" s="14" t="n">
        <v>0.5</v>
      </c>
      <c r="H123" s="10" t="s">
        <v>13</v>
      </c>
      <c r="I123" s="9" t="s">
        <v>14</v>
      </c>
      <c r="J123" s="15" t="n">
        <v>0</v>
      </c>
      <c r="K123" s="10" t="s">
        <v>184</v>
      </c>
    </row>
    <row r="124" customFormat="false" ht="30" hidden="false" customHeight="true" outlineLevel="0" collapsed="false">
      <c r="A124" s="2" t="n">
        <v>123</v>
      </c>
      <c r="B124" s="3" t="s">
        <v>185</v>
      </c>
      <c r="C124" s="3" t="s">
        <v>186</v>
      </c>
      <c r="D124" s="4"/>
      <c r="E124" s="5"/>
      <c r="F124" s="6" t="str">
        <f aca="false">IF(E124="","",E124+ROUNDUP(G124,0)-1)</f>
        <v/>
      </c>
      <c r="G124" s="7" t="n">
        <v>20</v>
      </c>
      <c r="H124" s="3" t="s">
        <v>30</v>
      </c>
      <c r="I124" s="2" t="s">
        <v>14</v>
      </c>
      <c r="J124" s="8" t="n">
        <v>0</v>
      </c>
      <c r="K124" s="3" t="s">
        <v>187</v>
      </c>
    </row>
    <row r="125" customFormat="false" ht="30" hidden="false" customHeight="true" outlineLevel="0" collapsed="false">
      <c r="A125" s="9" t="n">
        <v>124</v>
      </c>
      <c r="B125" s="10" t="s">
        <v>185</v>
      </c>
      <c r="C125" s="10" t="s">
        <v>188</v>
      </c>
      <c r="D125" s="11"/>
      <c r="E125" s="12"/>
      <c r="F125" s="13" t="str">
        <f aca="false">IF(E125="","",E125+ROUNDUP(G125,0)-1)</f>
        <v/>
      </c>
      <c r="G125" s="14" t="n">
        <v>2</v>
      </c>
      <c r="H125" s="10" t="s">
        <v>73</v>
      </c>
      <c r="I125" s="9" t="s">
        <v>14</v>
      </c>
      <c r="J125" s="15" t="n">
        <v>0</v>
      </c>
      <c r="K125" s="10"/>
    </row>
    <row r="126" customFormat="false" ht="30" hidden="false" customHeight="true" outlineLevel="0" collapsed="false">
      <c r="A126" s="9" t="n">
        <v>125</v>
      </c>
      <c r="B126" s="10" t="s">
        <v>185</v>
      </c>
      <c r="C126" s="10" t="s">
        <v>189</v>
      </c>
      <c r="D126" s="11"/>
      <c r="E126" s="12"/>
      <c r="F126" s="13" t="str">
        <f aca="false">IF(E126="","",E126+ROUNDUP(G126,0)-1)</f>
        <v/>
      </c>
      <c r="G126" s="14" t="n">
        <v>1.5</v>
      </c>
      <c r="H126" s="10" t="s">
        <v>73</v>
      </c>
      <c r="I126" s="9" t="s">
        <v>14</v>
      </c>
      <c r="J126" s="15" t="n">
        <v>0</v>
      </c>
      <c r="K126" s="10"/>
    </row>
    <row r="127" customFormat="false" ht="30" hidden="false" customHeight="true" outlineLevel="0" collapsed="false">
      <c r="A127" s="9" t="n">
        <v>126</v>
      </c>
      <c r="B127" s="10" t="s">
        <v>185</v>
      </c>
      <c r="C127" s="10" t="s">
        <v>190</v>
      </c>
      <c r="D127" s="11"/>
      <c r="E127" s="12"/>
      <c r="F127" s="13" t="str">
        <f aca="false">IF(E127="","",E127+ROUNDUP(G127,0)-1)</f>
        <v/>
      </c>
      <c r="G127" s="14" t="n">
        <v>2</v>
      </c>
      <c r="H127" s="10" t="s">
        <v>73</v>
      </c>
      <c r="I127" s="9" t="s">
        <v>14</v>
      </c>
      <c r="J127" s="15" t="n">
        <v>0</v>
      </c>
      <c r="K127" s="10"/>
    </row>
    <row r="128" customFormat="false" ht="30" hidden="false" customHeight="true" outlineLevel="0" collapsed="false">
      <c r="A128" s="9" t="n">
        <v>127</v>
      </c>
      <c r="B128" s="10" t="s">
        <v>185</v>
      </c>
      <c r="C128" s="10" t="s">
        <v>191</v>
      </c>
      <c r="D128" s="11"/>
      <c r="E128" s="12"/>
      <c r="F128" s="13" t="str">
        <f aca="false">IF(E128="","",E128+ROUNDUP(G128,0)-1)</f>
        <v/>
      </c>
      <c r="G128" s="14" t="n">
        <v>2</v>
      </c>
      <c r="H128" s="10" t="s">
        <v>73</v>
      </c>
      <c r="I128" s="9" t="s">
        <v>14</v>
      </c>
      <c r="J128" s="15" t="n">
        <v>0</v>
      </c>
      <c r="K128" s="10"/>
    </row>
    <row r="129" customFormat="false" ht="30" hidden="false" customHeight="true" outlineLevel="0" collapsed="false">
      <c r="A129" s="9" t="n">
        <v>128</v>
      </c>
      <c r="B129" s="10" t="s">
        <v>185</v>
      </c>
      <c r="C129" s="10" t="s">
        <v>192</v>
      </c>
      <c r="D129" s="11"/>
      <c r="E129" s="12"/>
      <c r="F129" s="13" t="str">
        <f aca="false">IF(E129="","",E129+ROUNDUP(G129,0)-1)</f>
        <v/>
      </c>
      <c r="G129" s="14" t="n">
        <v>1.5</v>
      </c>
      <c r="H129" s="10" t="s">
        <v>73</v>
      </c>
      <c r="I129" s="9" t="s">
        <v>14</v>
      </c>
      <c r="J129" s="15" t="n">
        <v>0</v>
      </c>
      <c r="K129" s="10"/>
    </row>
    <row r="130" customFormat="false" ht="30" hidden="false" customHeight="true" outlineLevel="0" collapsed="false">
      <c r="A130" s="9" t="n">
        <v>129</v>
      </c>
      <c r="B130" s="10" t="s">
        <v>185</v>
      </c>
      <c r="C130" s="10" t="s">
        <v>193</v>
      </c>
      <c r="D130" s="11"/>
      <c r="E130" s="12"/>
      <c r="F130" s="13" t="str">
        <f aca="false">IF(E130="","",E130+ROUNDUP(G130,0)-1)</f>
        <v/>
      </c>
      <c r="G130" s="14" t="n">
        <v>1.5</v>
      </c>
      <c r="H130" s="10" t="s">
        <v>46</v>
      </c>
      <c r="I130" s="9" t="s">
        <v>14</v>
      </c>
      <c r="J130" s="15" t="n">
        <v>0</v>
      </c>
      <c r="K130" s="10"/>
    </row>
    <row r="131" customFormat="false" ht="30" hidden="false" customHeight="true" outlineLevel="0" collapsed="false">
      <c r="A131" s="9" t="n">
        <v>130</v>
      </c>
      <c r="B131" s="10" t="s">
        <v>185</v>
      </c>
      <c r="C131" s="10" t="s">
        <v>194</v>
      </c>
      <c r="D131" s="11"/>
      <c r="E131" s="12"/>
      <c r="F131" s="13" t="str">
        <f aca="false">IF(E131="","",E131+ROUNDUP(G131,0)-1)</f>
        <v/>
      </c>
      <c r="G131" s="14" t="n">
        <v>1</v>
      </c>
      <c r="H131" s="10" t="s">
        <v>30</v>
      </c>
      <c r="I131" s="9" t="s">
        <v>14</v>
      </c>
      <c r="J131" s="15" t="n">
        <v>0</v>
      </c>
      <c r="K131" s="10" t="s">
        <v>195</v>
      </c>
    </row>
    <row r="132" customFormat="false" ht="30" hidden="false" customHeight="true" outlineLevel="0" collapsed="false">
      <c r="A132" s="9" t="n">
        <v>131</v>
      </c>
      <c r="B132" s="10" t="s">
        <v>185</v>
      </c>
      <c r="C132" s="10" t="s">
        <v>196</v>
      </c>
      <c r="D132" s="11"/>
      <c r="E132" s="12"/>
      <c r="F132" s="13" t="str">
        <f aca="false">IF(E132="","",E132+ROUNDUP(G132,0)-1)</f>
        <v/>
      </c>
      <c r="G132" s="14" t="n">
        <v>1</v>
      </c>
      <c r="H132" s="10" t="s">
        <v>30</v>
      </c>
      <c r="I132" s="9" t="s">
        <v>14</v>
      </c>
      <c r="J132" s="15" t="n">
        <v>0</v>
      </c>
      <c r="K132" s="10" t="s">
        <v>197</v>
      </c>
    </row>
    <row r="133" customFormat="false" ht="30" hidden="false" customHeight="true" outlineLevel="0" collapsed="false">
      <c r="A133" s="9" t="n">
        <v>132</v>
      </c>
      <c r="B133" s="10" t="s">
        <v>185</v>
      </c>
      <c r="C133" s="10" t="s">
        <v>198</v>
      </c>
      <c r="D133" s="11"/>
      <c r="E133" s="12"/>
      <c r="F133" s="13" t="str">
        <f aca="false">IF(E133="","",E133+ROUNDUP(G133,0)-1)</f>
        <v/>
      </c>
      <c r="G133" s="14" t="n">
        <v>1</v>
      </c>
      <c r="H133" s="10" t="s">
        <v>30</v>
      </c>
      <c r="I133" s="9" t="s">
        <v>14</v>
      </c>
      <c r="J133" s="15" t="n">
        <v>0</v>
      </c>
      <c r="K133" s="10" t="s">
        <v>199</v>
      </c>
    </row>
    <row r="134" customFormat="false" ht="30" hidden="false" customHeight="true" outlineLevel="0" collapsed="false">
      <c r="A134" s="9" t="n">
        <v>133</v>
      </c>
      <c r="B134" s="10" t="s">
        <v>185</v>
      </c>
      <c r="C134" s="10" t="s">
        <v>200</v>
      </c>
      <c r="D134" s="11"/>
      <c r="E134" s="12"/>
      <c r="F134" s="13" t="str">
        <f aca="false">IF(E134="","",E134+ROUNDUP(G134,0)-1)</f>
        <v/>
      </c>
      <c r="G134" s="14" t="n">
        <v>1</v>
      </c>
      <c r="H134" s="10" t="s">
        <v>201</v>
      </c>
      <c r="I134" s="9" t="s">
        <v>14</v>
      </c>
      <c r="J134" s="15" t="n">
        <v>0</v>
      </c>
      <c r="K134" s="10"/>
    </row>
    <row r="135" customFormat="false" ht="30" hidden="false" customHeight="true" outlineLevel="0" collapsed="false">
      <c r="A135" s="9" t="n">
        <v>134</v>
      </c>
      <c r="B135" s="10" t="s">
        <v>185</v>
      </c>
      <c r="C135" s="10" t="s">
        <v>202</v>
      </c>
      <c r="D135" s="11"/>
      <c r="E135" s="12"/>
      <c r="F135" s="13" t="str">
        <f aca="false">IF(E135="","",E135+ROUNDUP(G135,0)-1)</f>
        <v/>
      </c>
      <c r="G135" s="14" t="n">
        <v>1</v>
      </c>
      <c r="H135" s="10" t="s">
        <v>201</v>
      </c>
      <c r="I135" s="9" t="s">
        <v>14</v>
      </c>
      <c r="J135" s="15" t="n">
        <v>0</v>
      </c>
      <c r="K135" s="10"/>
    </row>
    <row r="136" customFormat="false" ht="30" hidden="false" customHeight="true" outlineLevel="0" collapsed="false">
      <c r="A136" s="9" t="n">
        <v>135</v>
      </c>
      <c r="B136" s="10" t="s">
        <v>185</v>
      </c>
      <c r="C136" s="10" t="s">
        <v>203</v>
      </c>
      <c r="D136" s="11"/>
      <c r="E136" s="12"/>
      <c r="F136" s="13" t="str">
        <f aca="false">IF(E136="","",E136+ROUNDUP(G136,0)-1)</f>
        <v/>
      </c>
      <c r="G136" s="14" t="n">
        <v>1</v>
      </c>
      <c r="H136" s="10" t="s">
        <v>30</v>
      </c>
      <c r="I136" s="9" t="s">
        <v>14</v>
      </c>
      <c r="J136" s="15" t="n">
        <v>0</v>
      </c>
      <c r="K136" s="10" t="s">
        <v>204</v>
      </c>
    </row>
    <row r="137" customFormat="false" ht="30" hidden="false" customHeight="true" outlineLevel="0" collapsed="false">
      <c r="A137" s="9" t="n">
        <v>136</v>
      </c>
      <c r="B137" s="10" t="s">
        <v>185</v>
      </c>
      <c r="C137" s="10" t="s">
        <v>205</v>
      </c>
      <c r="D137" s="11"/>
      <c r="E137" s="12"/>
      <c r="F137" s="13" t="str">
        <f aca="false">IF(E137="","",E137+ROUNDUP(G137,0)-1)</f>
        <v/>
      </c>
      <c r="G137" s="14" t="n">
        <v>0.5</v>
      </c>
      <c r="H137" s="10" t="s">
        <v>13</v>
      </c>
      <c r="I137" s="9" t="s">
        <v>14</v>
      </c>
      <c r="J137" s="15" t="n">
        <v>0</v>
      </c>
      <c r="K137" s="10"/>
    </row>
    <row r="138" customFormat="false" ht="30" hidden="false" customHeight="true" outlineLevel="0" collapsed="false">
      <c r="A138" s="2" t="n">
        <v>137</v>
      </c>
      <c r="B138" s="3" t="s">
        <v>206</v>
      </c>
      <c r="C138" s="3" t="s">
        <v>207</v>
      </c>
      <c r="D138" s="4"/>
      <c r="E138" s="5"/>
      <c r="F138" s="6" t="str">
        <f aca="false">IF(E138="","",E138+ROUNDUP(G138,0)-1)</f>
        <v/>
      </c>
      <c r="G138" s="7" t="n">
        <v>3</v>
      </c>
      <c r="H138" s="3" t="s">
        <v>201</v>
      </c>
      <c r="I138" s="2" t="s">
        <v>14</v>
      </c>
      <c r="J138" s="8" t="n">
        <v>0</v>
      </c>
      <c r="K138" s="3"/>
    </row>
    <row r="139" customFormat="false" ht="30" hidden="false" customHeight="true" outlineLevel="0" collapsed="false">
      <c r="A139" s="9" t="n">
        <v>138</v>
      </c>
      <c r="B139" s="10" t="s">
        <v>206</v>
      </c>
      <c r="C139" s="10" t="s">
        <v>208</v>
      </c>
      <c r="D139" s="11"/>
      <c r="E139" s="12"/>
      <c r="F139" s="13" t="str">
        <f aca="false">IF(E139="","",E139+ROUNDUP(G139,0)-1)</f>
        <v/>
      </c>
      <c r="G139" s="14" t="n">
        <v>2</v>
      </c>
      <c r="H139" s="10" t="s">
        <v>201</v>
      </c>
      <c r="I139" s="9" t="s">
        <v>14</v>
      </c>
      <c r="J139" s="15" t="n">
        <v>0</v>
      </c>
      <c r="K139" s="10" t="s">
        <v>209</v>
      </c>
    </row>
    <row r="140" customFormat="false" ht="30" hidden="false" customHeight="true" outlineLevel="0" collapsed="false">
      <c r="A140" s="9" t="n">
        <v>139</v>
      </c>
      <c r="B140" s="10" t="s">
        <v>206</v>
      </c>
      <c r="C140" s="10" t="s">
        <v>210</v>
      </c>
      <c r="D140" s="11"/>
      <c r="E140" s="12"/>
      <c r="F140" s="13" t="str">
        <f aca="false">IF(E140="","",E140+ROUNDUP(G140,0)-1)</f>
        <v/>
      </c>
      <c r="G140" s="14" t="n">
        <v>1.5</v>
      </c>
      <c r="H140" s="10" t="s">
        <v>201</v>
      </c>
      <c r="I140" s="9" t="s">
        <v>14</v>
      </c>
      <c r="J140" s="15" t="n">
        <v>0</v>
      </c>
      <c r="K140" s="10"/>
    </row>
    <row r="141" customFormat="false" ht="30" hidden="false" customHeight="true" outlineLevel="0" collapsed="false">
      <c r="A141" s="9" t="n">
        <v>140</v>
      </c>
      <c r="B141" s="10" t="s">
        <v>206</v>
      </c>
      <c r="C141" s="10" t="s">
        <v>211</v>
      </c>
      <c r="D141" s="11"/>
      <c r="E141" s="12"/>
      <c r="F141" s="13" t="str">
        <f aca="false">IF(E141="","",E141+ROUNDUP(G141,0)-1)</f>
        <v/>
      </c>
      <c r="G141" s="14" t="n">
        <v>3</v>
      </c>
      <c r="H141" s="10" t="s">
        <v>73</v>
      </c>
      <c r="I141" s="9" t="s">
        <v>14</v>
      </c>
      <c r="J141" s="15" t="n">
        <v>0</v>
      </c>
      <c r="K141" s="10"/>
    </row>
    <row r="142" customFormat="false" ht="30" hidden="false" customHeight="true" outlineLevel="0" collapsed="false">
      <c r="A142" s="9" t="n">
        <v>141</v>
      </c>
      <c r="B142" s="10" t="s">
        <v>206</v>
      </c>
      <c r="C142" s="10" t="s">
        <v>212</v>
      </c>
      <c r="D142" s="11"/>
      <c r="E142" s="12"/>
      <c r="F142" s="13" t="str">
        <f aca="false">IF(E142="","",E142+ROUNDUP(G142,0)-1)</f>
        <v/>
      </c>
      <c r="G142" s="14" t="n">
        <v>1</v>
      </c>
      <c r="H142" s="10" t="s">
        <v>73</v>
      </c>
      <c r="I142" s="9" t="s">
        <v>14</v>
      </c>
      <c r="J142" s="15" t="n">
        <v>0</v>
      </c>
      <c r="K142" s="10"/>
    </row>
    <row r="143" customFormat="false" ht="30" hidden="false" customHeight="true" outlineLevel="0" collapsed="false">
      <c r="A143" s="9" t="n">
        <v>142</v>
      </c>
      <c r="B143" s="10" t="s">
        <v>206</v>
      </c>
      <c r="C143" s="10" t="s">
        <v>213</v>
      </c>
      <c r="D143" s="11"/>
      <c r="E143" s="12"/>
      <c r="F143" s="13" t="str">
        <f aca="false">IF(E143="","",E143+ROUNDUP(G143,0)-1)</f>
        <v/>
      </c>
      <c r="G143" s="14" t="n">
        <v>1</v>
      </c>
      <c r="H143" s="10" t="s">
        <v>73</v>
      </c>
      <c r="I143" s="9" t="s">
        <v>14</v>
      </c>
      <c r="J143" s="15" t="n">
        <v>0</v>
      </c>
      <c r="K143" s="10"/>
    </row>
    <row r="144" customFormat="false" ht="30" hidden="false" customHeight="true" outlineLevel="0" collapsed="false">
      <c r="A144" s="9" t="n">
        <v>143</v>
      </c>
      <c r="B144" s="10" t="s">
        <v>206</v>
      </c>
      <c r="C144" s="10" t="s">
        <v>214</v>
      </c>
      <c r="D144" s="11"/>
      <c r="E144" s="12"/>
      <c r="F144" s="13" t="str">
        <f aca="false">IF(E144="","",E144+ROUNDUP(G144,0)-1)</f>
        <v/>
      </c>
      <c r="G144" s="14" t="n">
        <v>2</v>
      </c>
      <c r="H144" s="10" t="s">
        <v>73</v>
      </c>
      <c r="I144" s="9" t="s">
        <v>14</v>
      </c>
      <c r="J144" s="15" t="n">
        <v>0</v>
      </c>
      <c r="K144" s="10"/>
    </row>
    <row r="145" customFormat="false" ht="30" hidden="false" customHeight="true" outlineLevel="0" collapsed="false">
      <c r="A145" s="9" t="n">
        <v>144</v>
      </c>
      <c r="B145" s="10" t="s">
        <v>206</v>
      </c>
      <c r="C145" s="10" t="s">
        <v>215</v>
      </c>
      <c r="D145" s="11"/>
      <c r="E145" s="12"/>
      <c r="F145" s="13" t="str">
        <f aca="false">IF(E145="","",E145+ROUNDUP(G145,0)-1)</f>
        <v/>
      </c>
      <c r="G145" s="14" t="n">
        <v>1</v>
      </c>
      <c r="H145" s="10" t="s">
        <v>155</v>
      </c>
      <c r="I145" s="9" t="s">
        <v>14</v>
      </c>
      <c r="J145" s="15" t="n">
        <v>0</v>
      </c>
      <c r="K145" s="10"/>
    </row>
    <row r="146" customFormat="false" ht="30" hidden="false" customHeight="true" outlineLevel="0" collapsed="false">
      <c r="A146" s="9" t="n">
        <v>145</v>
      </c>
      <c r="B146" s="10" t="s">
        <v>206</v>
      </c>
      <c r="C146" s="10" t="s">
        <v>216</v>
      </c>
      <c r="D146" s="11"/>
      <c r="E146" s="12"/>
      <c r="F146" s="13" t="str">
        <f aca="false">IF(E146="","",E146+ROUNDUP(G146,0)-1)</f>
        <v/>
      </c>
      <c r="G146" s="14" t="n">
        <v>1</v>
      </c>
      <c r="H146" s="10" t="s">
        <v>46</v>
      </c>
      <c r="I146" s="9" t="s">
        <v>14</v>
      </c>
      <c r="J146" s="15" t="n">
        <v>0</v>
      </c>
      <c r="K146" s="10"/>
    </row>
    <row r="147" customFormat="false" ht="30" hidden="false" customHeight="true" outlineLevel="0" collapsed="false">
      <c r="A147" s="9" t="n">
        <v>146</v>
      </c>
      <c r="B147" s="10" t="s">
        <v>206</v>
      </c>
      <c r="C147" s="10" t="s">
        <v>217</v>
      </c>
      <c r="D147" s="11"/>
      <c r="E147" s="12"/>
      <c r="F147" s="13" t="str">
        <f aca="false">IF(E147="","",E147+ROUNDUP(G147,0)-1)</f>
        <v/>
      </c>
      <c r="G147" s="14" t="n">
        <v>3</v>
      </c>
      <c r="H147" s="10" t="s">
        <v>22</v>
      </c>
      <c r="I147" s="9" t="s">
        <v>14</v>
      </c>
      <c r="J147" s="15" t="n">
        <v>0</v>
      </c>
      <c r="K147" s="10" t="s">
        <v>218</v>
      </c>
    </row>
    <row r="148" customFormat="false" ht="30" hidden="false" customHeight="true" outlineLevel="0" collapsed="false">
      <c r="A148" s="9" t="n">
        <v>147</v>
      </c>
      <c r="B148" s="10" t="s">
        <v>206</v>
      </c>
      <c r="C148" s="10" t="s">
        <v>219</v>
      </c>
      <c r="D148" s="11"/>
      <c r="E148" s="12"/>
      <c r="F148" s="13" t="str">
        <f aca="false">IF(E148="","",E148+ROUNDUP(G148,0)-1)</f>
        <v/>
      </c>
      <c r="G148" s="14" t="n">
        <v>1.5</v>
      </c>
      <c r="H148" s="10" t="s">
        <v>111</v>
      </c>
      <c r="I148" s="9" t="s">
        <v>14</v>
      </c>
      <c r="J148" s="15" t="n">
        <v>0</v>
      </c>
      <c r="K148" s="10"/>
    </row>
    <row r="149" customFormat="false" ht="30" hidden="false" customHeight="true" outlineLevel="0" collapsed="false">
      <c r="A149" s="9" t="n">
        <v>148</v>
      </c>
      <c r="B149" s="10" t="s">
        <v>206</v>
      </c>
      <c r="C149" s="10" t="s">
        <v>220</v>
      </c>
      <c r="D149" s="11"/>
      <c r="E149" s="12"/>
      <c r="F149" s="13" t="str">
        <f aca="false">IF(E149="","",E149+ROUNDUP(G149,0)-1)</f>
        <v/>
      </c>
      <c r="G149" s="14" t="n">
        <v>1.5</v>
      </c>
      <c r="H149" s="10" t="s">
        <v>111</v>
      </c>
      <c r="I149" s="9" t="s">
        <v>14</v>
      </c>
      <c r="J149" s="15" t="n">
        <v>0</v>
      </c>
      <c r="K149" s="10"/>
    </row>
    <row r="150" customFormat="false" ht="30" hidden="false" customHeight="true" outlineLevel="0" collapsed="false">
      <c r="A150" s="9" t="n">
        <v>149</v>
      </c>
      <c r="B150" s="10" t="s">
        <v>206</v>
      </c>
      <c r="C150" s="10" t="s">
        <v>221</v>
      </c>
      <c r="D150" s="11"/>
      <c r="E150" s="12"/>
      <c r="F150" s="13" t="str">
        <f aca="false">IF(E150="","",E150+ROUNDUP(G150,0)-1)</f>
        <v/>
      </c>
      <c r="G150" s="14" t="n">
        <v>1</v>
      </c>
      <c r="H150" s="10" t="s">
        <v>201</v>
      </c>
      <c r="I150" s="9" t="s">
        <v>14</v>
      </c>
      <c r="J150" s="15" t="n">
        <v>0</v>
      </c>
      <c r="K150" s="10"/>
    </row>
    <row r="151" customFormat="false" ht="30" hidden="false" customHeight="true" outlineLevel="0" collapsed="false">
      <c r="A151" s="9" t="n">
        <v>150</v>
      </c>
      <c r="B151" s="10" t="s">
        <v>206</v>
      </c>
      <c r="C151" s="10" t="s">
        <v>222</v>
      </c>
      <c r="D151" s="11"/>
      <c r="E151" s="12"/>
      <c r="F151" s="13" t="str">
        <f aca="false">IF(E151="","",E151+ROUNDUP(G151,0)-1)</f>
        <v/>
      </c>
      <c r="G151" s="14" t="n">
        <v>1</v>
      </c>
      <c r="H151" s="10" t="s">
        <v>201</v>
      </c>
      <c r="I151" s="9" t="s">
        <v>14</v>
      </c>
      <c r="J151" s="15" t="n">
        <v>0</v>
      </c>
      <c r="K151" s="10"/>
    </row>
    <row r="152" customFormat="false" ht="30" hidden="false" customHeight="true" outlineLevel="0" collapsed="false">
      <c r="A152" s="9" t="n">
        <v>151</v>
      </c>
      <c r="B152" s="10" t="s">
        <v>206</v>
      </c>
      <c r="C152" s="10" t="s">
        <v>223</v>
      </c>
      <c r="D152" s="11"/>
      <c r="E152" s="12"/>
      <c r="F152" s="13" t="str">
        <f aca="false">IF(E152="","",E152+ROUNDUP(G152,0)-1)</f>
        <v/>
      </c>
      <c r="G152" s="14" t="n">
        <v>0.5</v>
      </c>
      <c r="H152" s="10" t="s">
        <v>64</v>
      </c>
      <c r="I152" s="9" t="s">
        <v>14</v>
      </c>
      <c r="J152" s="15" t="n">
        <v>0</v>
      </c>
      <c r="K152" s="10" t="s">
        <v>224</v>
      </c>
    </row>
    <row r="153" customFormat="false" ht="30" hidden="false" customHeight="true" outlineLevel="0" collapsed="false">
      <c r="A153" s="9" t="n">
        <v>152</v>
      </c>
      <c r="B153" s="10" t="s">
        <v>206</v>
      </c>
      <c r="C153" s="10" t="s">
        <v>225</v>
      </c>
      <c r="D153" s="11"/>
      <c r="E153" s="12"/>
      <c r="F153" s="13" t="str">
        <f aca="false">IF(E153="","",E153+ROUNDUP(G153,0)-1)</f>
        <v/>
      </c>
      <c r="G153" s="14" t="n">
        <v>0.5</v>
      </c>
      <c r="H153" s="10" t="s">
        <v>64</v>
      </c>
      <c r="I153" s="9" t="s">
        <v>14</v>
      </c>
      <c r="J153" s="15" t="n">
        <v>0</v>
      </c>
      <c r="K153" s="10"/>
    </row>
    <row r="154" customFormat="false" ht="30" hidden="false" customHeight="true" outlineLevel="0" collapsed="false">
      <c r="A154" s="2" t="n">
        <v>153</v>
      </c>
      <c r="B154" s="3" t="s">
        <v>226</v>
      </c>
      <c r="C154" s="3" t="s">
        <v>227</v>
      </c>
      <c r="D154" s="4"/>
      <c r="E154" s="5"/>
      <c r="F154" s="6" t="str">
        <f aca="false">IF(E154="","",E154+ROUNDUP(G154,0)-1)</f>
        <v/>
      </c>
      <c r="G154" s="7" t="n">
        <v>3</v>
      </c>
      <c r="H154" s="3" t="s">
        <v>73</v>
      </c>
      <c r="I154" s="2" t="s">
        <v>14</v>
      </c>
      <c r="J154" s="8" t="n">
        <v>0</v>
      </c>
      <c r="K154" s="3"/>
    </row>
    <row r="155" customFormat="false" ht="30" hidden="false" customHeight="true" outlineLevel="0" collapsed="false">
      <c r="A155" s="9" t="n">
        <v>154</v>
      </c>
      <c r="B155" s="10" t="s">
        <v>226</v>
      </c>
      <c r="C155" s="10" t="s">
        <v>228</v>
      </c>
      <c r="D155" s="11"/>
      <c r="E155" s="12"/>
      <c r="F155" s="13" t="str">
        <f aca="false">IF(E155="","",E155+ROUNDUP(G155,0)-1)</f>
        <v/>
      </c>
      <c r="G155" s="14" t="n">
        <v>1</v>
      </c>
      <c r="H155" s="10" t="s">
        <v>73</v>
      </c>
      <c r="I155" s="9" t="s">
        <v>14</v>
      </c>
      <c r="J155" s="15" t="n">
        <v>0</v>
      </c>
      <c r="K155" s="10"/>
    </row>
    <row r="156" customFormat="false" ht="30" hidden="false" customHeight="true" outlineLevel="0" collapsed="false">
      <c r="A156" s="9" t="n">
        <v>155</v>
      </c>
      <c r="B156" s="10" t="s">
        <v>226</v>
      </c>
      <c r="C156" s="10" t="s">
        <v>229</v>
      </c>
      <c r="D156" s="11"/>
      <c r="E156" s="12"/>
      <c r="F156" s="13" t="str">
        <f aca="false">IF(E156="","",E156+ROUNDUP(G156,0)-1)</f>
        <v/>
      </c>
      <c r="G156" s="14" t="n">
        <v>1</v>
      </c>
      <c r="H156" s="10" t="s">
        <v>73</v>
      </c>
      <c r="I156" s="9" t="s">
        <v>14</v>
      </c>
      <c r="J156" s="15" t="n">
        <v>0</v>
      </c>
      <c r="K156" s="10"/>
    </row>
    <row r="157" customFormat="false" ht="30" hidden="false" customHeight="true" outlineLevel="0" collapsed="false">
      <c r="A157" s="9" t="n">
        <v>156</v>
      </c>
      <c r="B157" s="10" t="s">
        <v>226</v>
      </c>
      <c r="C157" s="10" t="s">
        <v>230</v>
      </c>
      <c r="D157" s="11"/>
      <c r="E157" s="12"/>
      <c r="F157" s="13" t="str">
        <f aca="false">IF(E157="","",E157+ROUNDUP(G157,0)-1)</f>
        <v/>
      </c>
      <c r="G157" s="14" t="n">
        <v>2.5</v>
      </c>
      <c r="H157" s="10" t="s">
        <v>73</v>
      </c>
      <c r="I157" s="9" t="s">
        <v>14</v>
      </c>
      <c r="J157" s="15" t="n">
        <v>0</v>
      </c>
      <c r="K157" s="10"/>
    </row>
    <row r="158" customFormat="false" ht="30" hidden="false" customHeight="true" outlineLevel="0" collapsed="false">
      <c r="A158" s="9" t="n">
        <v>157</v>
      </c>
      <c r="B158" s="10" t="s">
        <v>226</v>
      </c>
      <c r="C158" s="10" t="s">
        <v>231</v>
      </c>
      <c r="D158" s="11"/>
      <c r="E158" s="12"/>
      <c r="F158" s="13" t="str">
        <f aca="false">IF(E158="","",E158+ROUNDUP(G158,0)-1)</f>
        <v/>
      </c>
      <c r="G158" s="14" t="n">
        <v>2.5</v>
      </c>
      <c r="H158" s="10" t="s">
        <v>73</v>
      </c>
      <c r="I158" s="9" t="s">
        <v>14</v>
      </c>
      <c r="J158" s="15" t="n">
        <v>0</v>
      </c>
      <c r="K158" s="10"/>
    </row>
    <row r="159" customFormat="false" ht="30" hidden="false" customHeight="true" outlineLevel="0" collapsed="false">
      <c r="A159" s="9" t="n">
        <v>158</v>
      </c>
      <c r="B159" s="10" t="s">
        <v>226</v>
      </c>
      <c r="C159" s="10" t="s">
        <v>232</v>
      </c>
      <c r="D159" s="11"/>
      <c r="E159" s="12"/>
      <c r="F159" s="13" t="str">
        <f aca="false">IF(E159="","",E159+ROUNDUP(G159,0)-1)</f>
        <v/>
      </c>
      <c r="G159" s="14" t="n">
        <v>2.5</v>
      </c>
      <c r="H159" s="10" t="s">
        <v>73</v>
      </c>
      <c r="I159" s="9" t="s">
        <v>14</v>
      </c>
      <c r="J159" s="15" t="n">
        <v>0</v>
      </c>
      <c r="K159" s="10"/>
    </row>
    <row r="160" customFormat="false" ht="30" hidden="false" customHeight="true" outlineLevel="0" collapsed="false">
      <c r="A160" s="9" t="n">
        <v>159</v>
      </c>
      <c r="B160" s="10" t="s">
        <v>226</v>
      </c>
      <c r="C160" s="10" t="s">
        <v>233</v>
      </c>
      <c r="D160" s="11"/>
      <c r="E160" s="12"/>
      <c r="F160" s="13" t="str">
        <f aca="false">IF(E160="","",E160+ROUNDUP(G160,0)-1)</f>
        <v/>
      </c>
      <c r="G160" s="14" t="n">
        <v>1.5</v>
      </c>
      <c r="H160" s="10" t="s">
        <v>73</v>
      </c>
      <c r="I160" s="9" t="s">
        <v>14</v>
      </c>
      <c r="J160" s="15" t="n">
        <v>0</v>
      </c>
      <c r="K160" s="10"/>
    </row>
    <row r="161" customFormat="false" ht="30" hidden="false" customHeight="true" outlineLevel="0" collapsed="false">
      <c r="A161" s="9" t="n">
        <v>160</v>
      </c>
      <c r="B161" s="10" t="s">
        <v>226</v>
      </c>
      <c r="C161" s="10" t="s">
        <v>234</v>
      </c>
      <c r="D161" s="11"/>
      <c r="E161" s="12"/>
      <c r="F161" s="13" t="str">
        <f aca="false">IF(E161="","",E161+ROUNDUP(G161,0)-1)</f>
        <v/>
      </c>
      <c r="G161" s="14" t="n">
        <v>1.5</v>
      </c>
      <c r="H161" s="10" t="s">
        <v>122</v>
      </c>
      <c r="I161" s="9" t="s">
        <v>14</v>
      </c>
      <c r="J161" s="15" t="n">
        <v>0</v>
      </c>
      <c r="K161" s="10"/>
    </row>
    <row r="162" customFormat="false" ht="30" hidden="false" customHeight="true" outlineLevel="0" collapsed="false">
      <c r="A162" s="9" t="n">
        <v>161</v>
      </c>
      <c r="B162" s="10" t="s">
        <v>226</v>
      </c>
      <c r="C162" s="10" t="s">
        <v>235</v>
      </c>
      <c r="D162" s="11"/>
      <c r="E162" s="12"/>
      <c r="F162" s="13" t="str">
        <f aca="false">IF(E162="","",E162+ROUNDUP(G162,0)-1)</f>
        <v/>
      </c>
      <c r="G162" s="14" t="n">
        <v>1</v>
      </c>
      <c r="H162" s="10" t="s">
        <v>122</v>
      </c>
      <c r="I162" s="9" t="s">
        <v>14</v>
      </c>
      <c r="J162" s="15" t="n">
        <v>0</v>
      </c>
      <c r="K162" s="10"/>
    </row>
    <row r="163" customFormat="false" ht="30" hidden="false" customHeight="true" outlineLevel="0" collapsed="false">
      <c r="A163" s="9" t="n">
        <v>162</v>
      </c>
      <c r="B163" s="10" t="s">
        <v>226</v>
      </c>
      <c r="C163" s="10" t="s">
        <v>236</v>
      </c>
      <c r="D163" s="11"/>
      <c r="E163" s="12"/>
      <c r="F163" s="13" t="str">
        <f aca="false">IF(E163="","",E163+ROUNDUP(G163,0)-1)</f>
        <v/>
      </c>
      <c r="G163" s="14" t="n">
        <v>2.5</v>
      </c>
      <c r="H163" s="10" t="s">
        <v>73</v>
      </c>
      <c r="I163" s="9" t="s">
        <v>14</v>
      </c>
      <c r="J163" s="15" t="n">
        <v>0</v>
      </c>
      <c r="K163" s="10" t="s">
        <v>237</v>
      </c>
    </row>
    <row r="164" customFormat="false" ht="30" hidden="false" customHeight="true" outlineLevel="0" collapsed="false">
      <c r="A164" s="9" t="n">
        <v>163</v>
      </c>
      <c r="B164" s="10" t="s">
        <v>226</v>
      </c>
      <c r="C164" s="10" t="s">
        <v>238</v>
      </c>
      <c r="D164" s="11"/>
      <c r="E164" s="12"/>
      <c r="F164" s="13" t="str">
        <f aca="false">IF(E164="","",E164+ROUNDUP(G164,0)-1)</f>
        <v/>
      </c>
      <c r="G164" s="14" t="n">
        <v>1.5</v>
      </c>
      <c r="H164" s="10" t="s">
        <v>46</v>
      </c>
      <c r="I164" s="9" t="s">
        <v>14</v>
      </c>
      <c r="J164" s="15" t="n">
        <v>0</v>
      </c>
      <c r="K164" s="10"/>
    </row>
    <row r="165" customFormat="false" ht="30" hidden="false" customHeight="true" outlineLevel="0" collapsed="false">
      <c r="A165" s="9" t="n">
        <v>164</v>
      </c>
      <c r="B165" s="10" t="s">
        <v>226</v>
      </c>
      <c r="C165" s="10" t="s">
        <v>239</v>
      </c>
      <c r="D165" s="11"/>
      <c r="E165" s="12"/>
      <c r="F165" s="13" t="str">
        <f aca="false">IF(E165="","",E165+ROUNDUP(G165,0)-1)</f>
        <v/>
      </c>
      <c r="G165" s="14" t="n">
        <v>2</v>
      </c>
      <c r="H165" s="10" t="s">
        <v>155</v>
      </c>
      <c r="I165" s="9" t="s">
        <v>14</v>
      </c>
      <c r="J165" s="15" t="n">
        <v>0</v>
      </c>
      <c r="K165" s="10"/>
    </row>
    <row r="166" customFormat="false" ht="30" hidden="false" customHeight="true" outlineLevel="0" collapsed="false">
      <c r="A166" s="9" t="n">
        <v>165</v>
      </c>
      <c r="B166" s="10" t="s">
        <v>226</v>
      </c>
      <c r="C166" s="10" t="s">
        <v>240</v>
      </c>
      <c r="D166" s="11"/>
      <c r="E166" s="12"/>
      <c r="F166" s="13" t="str">
        <f aca="false">IF(E166="","",E166+ROUNDUP(G166,0)-1)</f>
        <v/>
      </c>
      <c r="G166" s="14" t="n">
        <v>0.5</v>
      </c>
      <c r="H166" s="10" t="s">
        <v>30</v>
      </c>
      <c r="I166" s="9" t="s">
        <v>14</v>
      </c>
      <c r="J166" s="15" t="n">
        <v>0</v>
      </c>
      <c r="K166" s="10"/>
    </row>
    <row r="167" customFormat="false" ht="30" hidden="false" customHeight="true" outlineLevel="0" collapsed="false">
      <c r="A167" s="9" t="n">
        <v>166</v>
      </c>
      <c r="B167" s="10" t="s">
        <v>226</v>
      </c>
      <c r="C167" s="10" t="s">
        <v>241</v>
      </c>
      <c r="D167" s="11"/>
      <c r="E167" s="12"/>
      <c r="F167" s="13" t="str">
        <f aca="false">IF(E167="","",E167+ROUNDUP(G167,0)-1)</f>
        <v/>
      </c>
      <c r="G167" s="14" t="n">
        <v>1</v>
      </c>
      <c r="H167" s="10" t="s">
        <v>64</v>
      </c>
      <c r="I167" s="9" t="s">
        <v>14</v>
      </c>
      <c r="J167" s="15" t="n">
        <v>0</v>
      </c>
      <c r="K167" s="10" t="s">
        <v>242</v>
      </c>
    </row>
    <row r="168" customFormat="false" ht="30" hidden="false" customHeight="true" outlineLevel="0" collapsed="false">
      <c r="A168" s="9" t="n">
        <v>167</v>
      </c>
      <c r="B168" s="10" t="s">
        <v>226</v>
      </c>
      <c r="C168" s="10" t="s">
        <v>243</v>
      </c>
      <c r="D168" s="11"/>
      <c r="E168" s="12"/>
      <c r="F168" s="13" t="str">
        <f aca="false">IF(E168="","",E168+ROUNDUP(G168,0)-1)</f>
        <v/>
      </c>
      <c r="G168" s="14" t="n">
        <v>1</v>
      </c>
      <c r="H168" s="10" t="s">
        <v>64</v>
      </c>
      <c r="I168" s="9" t="s">
        <v>14</v>
      </c>
      <c r="J168" s="15" t="n">
        <v>0</v>
      </c>
      <c r="K168" s="10"/>
    </row>
    <row r="169" customFormat="false" ht="30" hidden="false" customHeight="true" outlineLevel="0" collapsed="false">
      <c r="A169" s="2" t="n">
        <v>168</v>
      </c>
      <c r="B169" s="3" t="s">
        <v>244</v>
      </c>
      <c r="C169" s="3" t="s">
        <v>245</v>
      </c>
      <c r="D169" s="4"/>
      <c r="E169" s="5"/>
      <c r="F169" s="6" t="str">
        <f aca="false">IF(E169="","",E169+ROUNDUP(G169,0)-1)</f>
        <v/>
      </c>
      <c r="G169" s="7" t="n">
        <v>3</v>
      </c>
      <c r="H169" s="3" t="s">
        <v>73</v>
      </c>
      <c r="I169" s="2" t="s">
        <v>14</v>
      </c>
      <c r="J169" s="8" t="n">
        <v>0</v>
      </c>
      <c r="K169" s="3"/>
    </row>
    <row r="170" customFormat="false" ht="30" hidden="false" customHeight="true" outlineLevel="0" collapsed="false">
      <c r="A170" s="9" t="n">
        <v>169</v>
      </c>
      <c r="B170" s="10" t="s">
        <v>244</v>
      </c>
      <c r="C170" s="10" t="s">
        <v>246</v>
      </c>
      <c r="D170" s="11"/>
      <c r="E170" s="12"/>
      <c r="F170" s="13" t="str">
        <f aca="false">IF(E170="","",E170+ROUNDUP(G170,0)-1)</f>
        <v/>
      </c>
      <c r="G170" s="14" t="n">
        <v>2</v>
      </c>
      <c r="H170" s="10" t="s">
        <v>73</v>
      </c>
      <c r="I170" s="9" t="s">
        <v>14</v>
      </c>
      <c r="J170" s="15" t="n">
        <v>0</v>
      </c>
      <c r="K170" s="10"/>
    </row>
    <row r="171" customFormat="false" ht="30" hidden="false" customHeight="true" outlineLevel="0" collapsed="false">
      <c r="A171" s="9" t="n">
        <v>170</v>
      </c>
      <c r="B171" s="10" t="s">
        <v>244</v>
      </c>
      <c r="C171" s="10" t="s">
        <v>247</v>
      </c>
      <c r="D171" s="11"/>
      <c r="E171" s="12"/>
      <c r="F171" s="13" t="str">
        <f aca="false">IF(E171="","",E171+ROUNDUP(G171,0)-1)</f>
        <v/>
      </c>
      <c r="G171" s="14" t="n">
        <v>3</v>
      </c>
      <c r="H171" s="10" t="s">
        <v>122</v>
      </c>
      <c r="I171" s="9" t="s">
        <v>14</v>
      </c>
      <c r="J171" s="15" t="n">
        <v>0</v>
      </c>
      <c r="K171" s="10"/>
    </row>
    <row r="172" customFormat="false" ht="30" hidden="false" customHeight="true" outlineLevel="0" collapsed="false">
      <c r="A172" s="9" t="n">
        <v>171</v>
      </c>
      <c r="B172" s="10" t="s">
        <v>244</v>
      </c>
      <c r="C172" s="10" t="s">
        <v>248</v>
      </c>
      <c r="D172" s="11"/>
      <c r="E172" s="12"/>
      <c r="F172" s="13" t="str">
        <f aca="false">IF(E172="","",E172+ROUNDUP(G172,0)-1)</f>
        <v/>
      </c>
      <c r="G172" s="14" t="n">
        <v>2</v>
      </c>
      <c r="H172" s="10" t="s">
        <v>155</v>
      </c>
      <c r="I172" s="9" t="s">
        <v>14</v>
      </c>
      <c r="J172" s="15" t="n">
        <v>0</v>
      </c>
      <c r="K172" s="10"/>
    </row>
    <row r="173" customFormat="false" ht="30" hidden="false" customHeight="true" outlineLevel="0" collapsed="false">
      <c r="A173" s="9" t="n">
        <v>172</v>
      </c>
      <c r="B173" s="10" t="s">
        <v>244</v>
      </c>
      <c r="C173" s="10" t="s">
        <v>249</v>
      </c>
      <c r="D173" s="11"/>
      <c r="E173" s="12"/>
      <c r="F173" s="13" t="str">
        <f aca="false">IF(E173="","",E173+ROUNDUP(G173,0)-1)</f>
        <v/>
      </c>
      <c r="G173" s="14" t="n">
        <v>1.5</v>
      </c>
      <c r="H173" s="10" t="s">
        <v>73</v>
      </c>
      <c r="I173" s="9" t="s">
        <v>14</v>
      </c>
      <c r="J173" s="15" t="n">
        <v>0</v>
      </c>
      <c r="K173" s="10"/>
    </row>
    <row r="174" customFormat="false" ht="30" hidden="false" customHeight="true" outlineLevel="0" collapsed="false">
      <c r="A174" s="9" t="n">
        <v>173</v>
      </c>
      <c r="B174" s="10" t="s">
        <v>244</v>
      </c>
      <c r="C174" s="10" t="s">
        <v>250</v>
      </c>
      <c r="D174" s="11"/>
      <c r="E174" s="12"/>
      <c r="F174" s="13" t="str">
        <f aca="false">IF(E174="","",E174+ROUNDUP(G174,0)-1)</f>
        <v/>
      </c>
      <c r="G174" s="14" t="n">
        <v>3</v>
      </c>
      <c r="H174" s="10" t="s">
        <v>46</v>
      </c>
      <c r="I174" s="9" t="s">
        <v>14</v>
      </c>
      <c r="J174" s="15" t="n">
        <v>0</v>
      </c>
      <c r="K174" s="10"/>
    </row>
    <row r="175" customFormat="false" ht="30" hidden="false" customHeight="true" outlineLevel="0" collapsed="false">
      <c r="A175" s="9" t="n">
        <v>174</v>
      </c>
      <c r="B175" s="10" t="s">
        <v>244</v>
      </c>
      <c r="C175" s="10" t="s">
        <v>251</v>
      </c>
      <c r="D175" s="11"/>
      <c r="E175" s="12"/>
      <c r="F175" s="13" t="str">
        <f aca="false">IF(E175="","",E175+ROUNDUP(G175,0)-1)</f>
        <v/>
      </c>
      <c r="G175" s="14" t="n">
        <v>3</v>
      </c>
      <c r="H175" s="10" t="s">
        <v>46</v>
      </c>
      <c r="I175" s="9" t="s">
        <v>14</v>
      </c>
      <c r="J175" s="15" t="n">
        <v>0</v>
      </c>
      <c r="K175" s="10"/>
    </row>
    <row r="176" customFormat="false" ht="30" hidden="false" customHeight="true" outlineLevel="0" collapsed="false">
      <c r="A176" s="9" t="n">
        <v>175</v>
      </c>
      <c r="B176" s="10" t="s">
        <v>244</v>
      </c>
      <c r="C176" s="10" t="s">
        <v>252</v>
      </c>
      <c r="D176" s="11"/>
      <c r="E176" s="12"/>
      <c r="F176" s="13" t="str">
        <f aca="false">IF(E176="","",E176+ROUNDUP(G176,0)-1)</f>
        <v/>
      </c>
      <c r="G176" s="14" t="n">
        <v>2</v>
      </c>
      <c r="H176" s="10" t="s">
        <v>46</v>
      </c>
      <c r="I176" s="9" t="s">
        <v>14</v>
      </c>
      <c r="J176" s="15" t="n">
        <v>0</v>
      </c>
      <c r="K176" s="10"/>
    </row>
    <row r="177" customFormat="false" ht="30" hidden="false" customHeight="true" outlineLevel="0" collapsed="false">
      <c r="A177" s="9" t="n">
        <v>176</v>
      </c>
      <c r="B177" s="10" t="s">
        <v>244</v>
      </c>
      <c r="C177" s="10" t="s">
        <v>253</v>
      </c>
      <c r="D177" s="11"/>
      <c r="E177" s="12"/>
      <c r="F177" s="13" t="str">
        <f aca="false">IF(E177="","",E177+ROUNDUP(G177,0)-1)</f>
        <v/>
      </c>
      <c r="G177" s="14" t="n">
        <v>3</v>
      </c>
      <c r="H177" s="10" t="s">
        <v>155</v>
      </c>
      <c r="I177" s="9" t="s">
        <v>14</v>
      </c>
      <c r="J177" s="15" t="n">
        <v>0</v>
      </c>
      <c r="K177" s="10"/>
    </row>
    <row r="178" customFormat="false" ht="30" hidden="false" customHeight="true" outlineLevel="0" collapsed="false">
      <c r="A178" s="9" t="n">
        <v>177</v>
      </c>
      <c r="B178" s="10" t="s">
        <v>244</v>
      </c>
      <c r="C178" s="10" t="s">
        <v>254</v>
      </c>
      <c r="D178" s="11"/>
      <c r="E178" s="12"/>
      <c r="F178" s="13" t="str">
        <f aca="false">IF(E178="","",E178+ROUNDUP(G178,0)-1)</f>
        <v/>
      </c>
      <c r="G178" s="14" t="n">
        <v>2</v>
      </c>
      <c r="H178" s="10" t="s">
        <v>73</v>
      </c>
      <c r="I178" s="9" t="s">
        <v>14</v>
      </c>
      <c r="J178" s="15" t="n">
        <v>0</v>
      </c>
      <c r="K178" s="10"/>
    </row>
    <row r="179" customFormat="false" ht="30" hidden="false" customHeight="true" outlineLevel="0" collapsed="false">
      <c r="A179" s="9" t="n">
        <v>178</v>
      </c>
      <c r="B179" s="10" t="s">
        <v>244</v>
      </c>
      <c r="C179" s="10" t="s">
        <v>255</v>
      </c>
      <c r="D179" s="11"/>
      <c r="E179" s="12"/>
      <c r="F179" s="13" t="str">
        <f aca="false">IF(E179="","",E179+ROUNDUP(G179,0)-1)</f>
        <v/>
      </c>
      <c r="G179" s="14" t="n">
        <v>0.5</v>
      </c>
      <c r="H179" s="10" t="s">
        <v>13</v>
      </c>
      <c r="I179" s="9" t="s">
        <v>14</v>
      </c>
      <c r="J179" s="15" t="n">
        <v>0</v>
      </c>
      <c r="K179" s="10" t="s">
        <v>256</v>
      </c>
    </row>
    <row r="180" customFormat="false" ht="30" hidden="false" customHeight="true" outlineLevel="0" collapsed="false">
      <c r="A180" s="9" t="n">
        <v>179</v>
      </c>
      <c r="B180" s="10" t="s">
        <v>244</v>
      </c>
      <c r="C180" s="10" t="s">
        <v>257</v>
      </c>
      <c r="D180" s="11"/>
      <c r="E180" s="12"/>
      <c r="F180" s="13" t="str">
        <f aca="false">IF(E180="","",E180+ROUNDUP(G180,0)-1)</f>
        <v/>
      </c>
      <c r="G180" s="14" t="n">
        <v>0.5</v>
      </c>
      <c r="H180" s="10" t="s">
        <v>64</v>
      </c>
      <c r="I180" s="9" t="s">
        <v>14</v>
      </c>
      <c r="J180" s="15" t="n">
        <v>0</v>
      </c>
      <c r="K180" s="10"/>
    </row>
    <row r="181" customFormat="false" ht="30" hidden="false" customHeight="true" outlineLevel="0" collapsed="false">
      <c r="A181" s="9" t="n">
        <v>180</v>
      </c>
      <c r="B181" s="10" t="s">
        <v>244</v>
      </c>
      <c r="C181" s="10" t="s">
        <v>258</v>
      </c>
      <c r="D181" s="11"/>
      <c r="E181" s="12"/>
      <c r="F181" s="13" t="str">
        <f aca="false">IF(E181="","",E181+ROUNDUP(G181,0)-1)</f>
        <v/>
      </c>
      <c r="G181" s="14" t="n">
        <v>0.5</v>
      </c>
      <c r="H181" s="10" t="s">
        <v>64</v>
      </c>
      <c r="I181" s="9" t="s">
        <v>14</v>
      </c>
      <c r="J181" s="15" t="n">
        <v>0</v>
      </c>
      <c r="K181" s="10"/>
    </row>
    <row r="182" customFormat="false" ht="30" hidden="false" customHeight="true" outlineLevel="0" collapsed="false">
      <c r="A182" s="2" t="n">
        <v>181</v>
      </c>
      <c r="B182" s="3" t="s">
        <v>259</v>
      </c>
      <c r="C182" s="3" t="s">
        <v>260</v>
      </c>
      <c r="D182" s="4"/>
      <c r="E182" s="5"/>
      <c r="F182" s="6" t="str">
        <f aca="false">IF(E182="","",E182+ROUNDUP(G182,0)-1)</f>
        <v/>
      </c>
      <c r="G182" s="7" t="n">
        <v>2</v>
      </c>
      <c r="H182" s="3" t="s">
        <v>111</v>
      </c>
      <c r="I182" s="2" t="s">
        <v>14</v>
      </c>
      <c r="J182" s="8" t="n">
        <v>0</v>
      </c>
      <c r="K182" s="3"/>
    </row>
    <row r="183" customFormat="false" ht="30" hidden="false" customHeight="true" outlineLevel="0" collapsed="false">
      <c r="A183" s="9" t="n">
        <v>182</v>
      </c>
      <c r="B183" s="10" t="s">
        <v>259</v>
      </c>
      <c r="C183" s="10" t="s">
        <v>261</v>
      </c>
      <c r="D183" s="11"/>
      <c r="E183" s="12"/>
      <c r="F183" s="13" t="str">
        <f aca="false">IF(E183="","",E183+ROUNDUP(G183,0)-1)</f>
        <v/>
      </c>
      <c r="G183" s="14" t="n">
        <v>2</v>
      </c>
      <c r="H183" s="10" t="s">
        <v>111</v>
      </c>
      <c r="I183" s="9" t="s">
        <v>14</v>
      </c>
      <c r="J183" s="15" t="n">
        <v>0</v>
      </c>
      <c r="K183" s="10"/>
    </row>
    <row r="184" customFormat="false" ht="30" hidden="false" customHeight="true" outlineLevel="0" collapsed="false">
      <c r="A184" s="9" t="n">
        <v>183</v>
      </c>
      <c r="B184" s="10" t="s">
        <v>259</v>
      </c>
      <c r="C184" s="10" t="s">
        <v>262</v>
      </c>
      <c r="D184" s="11"/>
      <c r="E184" s="12"/>
      <c r="F184" s="13" t="str">
        <f aca="false">IF(E184="","",E184+ROUNDUP(G184,0)-1)</f>
        <v/>
      </c>
      <c r="G184" s="14" t="n">
        <v>3</v>
      </c>
      <c r="H184" s="10" t="s">
        <v>201</v>
      </c>
      <c r="I184" s="9" t="s">
        <v>14</v>
      </c>
      <c r="J184" s="15" t="n">
        <v>0</v>
      </c>
      <c r="K184" s="10"/>
    </row>
    <row r="185" customFormat="false" ht="30" hidden="false" customHeight="true" outlineLevel="0" collapsed="false">
      <c r="A185" s="9" t="n">
        <v>184</v>
      </c>
      <c r="B185" s="10" t="s">
        <v>259</v>
      </c>
      <c r="C185" s="10" t="s">
        <v>263</v>
      </c>
      <c r="D185" s="11"/>
      <c r="E185" s="12"/>
      <c r="F185" s="13" t="str">
        <f aca="false">IF(E185="","",E185+ROUNDUP(G185,0)-1)</f>
        <v/>
      </c>
      <c r="G185" s="14" t="n">
        <v>2</v>
      </c>
      <c r="H185" s="10" t="s">
        <v>111</v>
      </c>
      <c r="I185" s="9" t="s">
        <v>14</v>
      </c>
      <c r="J185" s="15" t="n">
        <v>0</v>
      </c>
      <c r="K185" s="10"/>
    </row>
    <row r="186" customFormat="false" ht="30" hidden="false" customHeight="true" outlineLevel="0" collapsed="false">
      <c r="A186" s="9" t="n">
        <v>185</v>
      </c>
      <c r="B186" s="10" t="s">
        <v>259</v>
      </c>
      <c r="C186" s="10" t="s">
        <v>264</v>
      </c>
      <c r="D186" s="11"/>
      <c r="E186" s="12"/>
      <c r="F186" s="13" t="str">
        <f aca="false">IF(E186="","",E186+ROUNDUP(G186,0)-1)</f>
        <v/>
      </c>
      <c r="G186" s="14" t="n">
        <v>2</v>
      </c>
      <c r="H186" s="10" t="s">
        <v>155</v>
      </c>
      <c r="I186" s="9" t="s">
        <v>14</v>
      </c>
      <c r="J186" s="15" t="n">
        <v>0</v>
      </c>
      <c r="K186" s="10"/>
    </row>
    <row r="187" customFormat="false" ht="30" hidden="false" customHeight="true" outlineLevel="0" collapsed="false">
      <c r="A187" s="9" t="n">
        <v>186</v>
      </c>
      <c r="B187" s="10" t="s">
        <v>259</v>
      </c>
      <c r="C187" s="10" t="s">
        <v>265</v>
      </c>
      <c r="D187" s="11"/>
      <c r="E187" s="12"/>
      <c r="F187" s="13" t="str">
        <f aca="false">IF(E187="","",E187+ROUNDUP(G187,0)-1)</f>
        <v/>
      </c>
      <c r="G187" s="14" t="n">
        <v>1.5</v>
      </c>
      <c r="H187" s="10" t="s">
        <v>22</v>
      </c>
      <c r="I187" s="9" t="s">
        <v>14</v>
      </c>
      <c r="J187" s="15" t="n">
        <v>0</v>
      </c>
      <c r="K187" s="10"/>
    </row>
    <row r="188" customFormat="false" ht="30" hidden="false" customHeight="true" outlineLevel="0" collapsed="false">
      <c r="A188" s="9" t="n">
        <v>187</v>
      </c>
      <c r="B188" s="10" t="s">
        <v>259</v>
      </c>
      <c r="C188" s="10" t="s">
        <v>266</v>
      </c>
      <c r="D188" s="11"/>
      <c r="E188" s="12"/>
      <c r="F188" s="13" t="str">
        <f aca="false">IF(E188="","",E188+ROUNDUP(G188,0)-1)</f>
        <v/>
      </c>
      <c r="G188" s="14" t="n">
        <v>5</v>
      </c>
      <c r="H188" s="10" t="s">
        <v>30</v>
      </c>
      <c r="I188" s="9" t="s">
        <v>14</v>
      </c>
      <c r="J188" s="15" t="n">
        <v>0</v>
      </c>
      <c r="K188" s="10" t="s">
        <v>267</v>
      </c>
    </row>
    <row r="189" customFormat="false" ht="30" hidden="false" customHeight="true" outlineLevel="0" collapsed="false">
      <c r="A189" s="9" t="n">
        <v>188</v>
      </c>
      <c r="B189" s="10" t="s">
        <v>259</v>
      </c>
      <c r="C189" s="10" t="s">
        <v>268</v>
      </c>
      <c r="D189" s="11"/>
      <c r="E189" s="12"/>
      <c r="F189" s="13" t="str">
        <f aca="false">IF(E189="","",E189+ROUNDUP(G189,0)-1)</f>
        <v/>
      </c>
      <c r="G189" s="14" t="n">
        <v>1</v>
      </c>
      <c r="H189" s="10" t="s">
        <v>30</v>
      </c>
      <c r="I189" s="9" t="s">
        <v>14</v>
      </c>
      <c r="J189" s="15" t="n">
        <v>0</v>
      </c>
      <c r="K189" s="10"/>
    </row>
    <row r="190" customFormat="false" ht="30" hidden="false" customHeight="true" outlineLevel="0" collapsed="false">
      <c r="A190" s="9" t="n">
        <v>189</v>
      </c>
      <c r="B190" s="10" t="s">
        <v>259</v>
      </c>
      <c r="C190" s="10" t="s">
        <v>269</v>
      </c>
      <c r="D190" s="11"/>
      <c r="E190" s="12"/>
      <c r="F190" s="13" t="str">
        <f aca="false">IF(E190="","",E190+ROUNDUP(G190,0)-1)</f>
        <v/>
      </c>
      <c r="G190" s="14" t="n">
        <v>1</v>
      </c>
      <c r="H190" s="10" t="s">
        <v>64</v>
      </c>
      <c r="I190" s="9" t="s">
        <v>14</v>
      </c>
      <c r="J190" s="15" t="n">
        <v>0</v>
      </c>
      <c r="K190" s="10"/>
    </row>
    <row r="191" customFormat="false" ht="30" hidden="false" customHeight="true" outlineLevel="0" collapsed="false">
      <c r="A191" s="9" t="n">
        <v>190</v>
      </c>
      <c r="B191" s="10" t="s">
        <v>259</v>
      </c>
      <c r="C191" s="10" t="s">
        <v>270</v>
      </c>
      <c r="D191" s="11"/>
      <c r="E191" s="12"/>
      <c r="F191" s="13" t="str">
        <f aca="false">IF(E191="","",E191+ROUNDUP(G191,0)-1)</f>
        <v/>
      </c>
      <c r="G191" s="14" t="n">
        <v>0.5</v>
      </c>
      <c r="H191" s="10" t="s">
        <v>64</v>
      </c>
      <c r="I191" s="9" t="s">
        <v>14</v>
      </c>
      <c r="J191" s="15" t="n">
        <v>0</v>
      </c>
      <c r="K191" s="10"/>
    </row>
    <row r="192" customFormat="false" ht="30" hidden="false" customHeight="true" outlineLevel="0" collapsed="false">
      <c r="A192" s="2" t="n">
        <v>191</v>
      </c>
      <c r="B192" s="3" t="s">
        <v>271</v>
      </c>
      <c r="C192" s="3" t="s">
        <v>272</v>
      </c>
      <c r="D192" s="4"/>
      <c r="E192" s="5"/>
      <c r="F192" s="6" t="str">
        <f aca="false">IF(E192="","",E192+ROUNDUP(G192,0)-1)</f>
        <v/>
      </c>
      <c r="G192" s="7" t="n">
        <v>1</v>
      </c>
      <c r="H192" s="3" t="s">
        <v>13</v>
      </c>
      <c r="I192" s="2" t="s">
        <v>14</v>
      </c>
      <c r="J192" s="8" t="n">
        <v>0</v>
      </c>
      <c r="K192" s="3"/>
    </row>
    <row r="193" customFormat="false" ht="30" hidden="false" customHeight="true" outlineLevel="0" collapsed="false">
      <c r="A193" s="9" t="n">
        <v>192</v>
      </c>
      <c r="B193" s="10" t="s">
        <v>271</v>
      </c>
      <c r="C193" s="10" t="s">
        <v>273</v>
      </c>
      <c r="D193" s="11"/>
      <c r="E193" s="12"/>
      <c r="F193" s="13" t="str">
        <f aca="false">IF(E193="","",E193+ROUNDUP(G193,0)-1)</f>
        <v/>
      </c>
      <c r="G193" s="14" t="n">
        <v>5</v>
      </c>
      <c r="H193" s="10" t="s">
        <v>22</v>
      </c>
      <c r="I193" s="9" t="s">
        <v>14</v>
      </c>
      <c r="J193" s="15" t="n">
        <v>0</v>
      </c>
      <c r="K193" s="10"/>
    </row>
    <row r="194" customFormat="false" ht="30" hidden="false" customHeight="true" outlineLevel="0" collapsed="false">
      <c r="A194" s="9" t="n">
        <v>193</v>
      </c>
      <c r="B194" s="10" t="s">
        <v>271</v>
      </c>
      <c r="C194" s="10" t="s">
        <v>274</v>
      </c>
      <c r="D194" s="11"/>
      <c r="E194" s="12"/>
      <c r="F194" s="13" t="str">
        <f aca="false">IF(E194="","",E194+ROUNDUP(G194,0)-1)</f>
        <v/>
      </c>
      <c r="G194" s="14" t="n">
        <v>3</v>
      </c>
      <c r="H194" s="10" t="s">
        <v>30</v>
      </c>
      <c r="I194" s="9" t="s">
        <v>14</v>
      </c>
      <c r="J194" s="15" t="n">
        <v>0</v>
      </c>
      <c r="K194" s="10"/>
    </row>
    <row r="195" customFormat="false" ht="30" hidden="false" customHeight="true" outlineLevel="0" collapsed="false">
      <c r="A195" s="9" t="n">
        <v>194</v>
      </c>
      <c r="B195" s="10" t="s">
        <v>271</v>
      </c>
      <c r="C195" s="10" t="s">
        <v>275</v>
      </c>
      <c r="D195" s="11"/>
      <c r="E195" s="12"/>
      <c r="F195" s="13" t="str">
        <f aca="false">IF(E195="","",E195+ROUNDUP(G195,0)-1)</f>
        <v/>
      </c>
      <c r="G195" s="14" t="n">
        <v>2</v>
      </c>
      <c r="H195" s="10" t="s">
        <v>30</v>
      </c>
      <c r="I195" s="9" t="s">
        <v>14</v>
      </c>
      <c r="J195" s="15" t="n">
        <v>0</v>
      </c>
      <c r="K195" s="10"/>
    </row>
  </sheetData>
  <autoFilter ref="A1:K195"/>
  <conditionalFormatting sqref="A2:K195">
    <cfRule type="expression" priority="2" aboveAverage="0" equalAverage="0" bottom="0" percent="0" rank="0" text="" dxfId="3">
      <formula>$I2="Hoàn thành"</formula>
    </cfRule>
    <cfRule type="expression" priority="3" aboveAverage="0" equalAverage="0" bottom="0" percent="0" rank="0" text="" dxfId="4">
      <formula>$I2="Đang làm"</formula>
    </cfRule>
    <cfRule type="expression" priority="4" aboveAverage="0" equalAverage="0" bottom="0" percent="0" rank="0" text="" dxfId="5">
      <formula>$I2="Bị chặn"</formula>
    </cfRule>
    <cfRule type="expression" priority="5" aboveAverage="0" equalAverage="0" bottom="0" percent="0" rank="0" text="" dxfId="6">
      <formula>$I2="Chờ review"</formula>
    </cfRule>
  </conditionalFormatting>
  <dataValidations count="3">
    <dataValidation allowBlank="true" errorStyle="stop" operator="between" showDropDown="false" showErrorMessage="false" showInputMessage="false" sqref="I2:I195" type="list">
      <formula1>"Chưa bắt đầu,Đang làm,Chờ review,Hoàn thành,Bị chặn"</formula1>
      <formula2>0</formula2>
    </dataValidation>
    <dataValidation allowBlank="true" errorStyle="stop" operator="between" showDropDown="false" showErrorMessage="false" showInputMessage="false" sqref="H2:H195" type="list">
      <formula1>"Quyết định,Hạ tầng,Dữ liệu,Logic Agent (AI),Quy trình duyệt,Giao diện - Portal,Giao diện - Internal App,Tích hợp bên thứ 3,Kiểm thử,Vận hành,Tài liệu"</formula1>
      <formula2>0</formula2>
    </dataValidation>
    <dataValidation allowBlank="true" error="Nhập số từ 0% đến 100%" errorStyle="stop" errorTitle="Sai giá trị" operator="between" showDropDown="false" showErrorMessage="true" showInputMessage="false" sqref="J2:J19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75"/>
  </cols>
  <sheetData>
    <row r="1" customFormat="false" ht="30" hidden="false" customHeight="true" outlineLevel="0" collapsed="false">
      <c r="A1" s="1" t="s">
        <v>276</v>
      </c>
      <c r="B1" s="1" t="s">
        <v>277</v>
      </c>
      <c r="C1" s="1" t="s">
        <v>278</v>
      </c>
      <c r="D1" s="1" t="s">
        <v>279</v>
      </c>
    </row>
    <row r="2" customFormat="false" ht="48" hidden="false" customHeight="true" outlineLevel="0" collapsed="false">
      <c r="A2" s="10" t="s">
        <v>11</v>
      </c>
      <c r="B2" s="16" t="n">
        <f aca="false">COUNTIF(Checklist!$B:$B,"Phase 0 – Chuẩn bị (Quyết định &amp; Repo)")</f>
        <v>11</v>
      </c>
      <c r="C2" s="14" t="n">
        <f aca="false">SUMIF(Checklist!$B:$B,"Phase 0 – Chuẩn bị (Quyết định &amp; Repo)",Checklist!$G:$G)</f>
        <v>4.25</v>
      </c>
      <c r="D2" s="10" t="s">
        <v>280</v>
      </c>
    </row>
    <row r="3" customFormat="false" ht="48" hidden="false" customHeight="true" outlineLevel="0" collapsed="false">
      <c r="A3" s="10" t="s">
        <v>31</v>
      </c>
      <c r="B3" s="16" t="n">
        <f aca="false">COUNTIF(Checklist!$B:$B,"Phase 1 – Bước 1: Hạ tầng (VPS/Coolify)")</f>
        <v>9</v>
      </c>
      <c r="C3" s="14" t="n">
        <f aca="false">SUMIF(Checklist!$B:$B,"Phase 1 – Bước 1: Hạ tầng (VPS/Coolify)",Checklist!$G:$G)</f>
        <v>5.5</v>
      </c>
      <c r="D3" s="10" t="s">
        <v>281</v>
      </c>
    </row>
    <row r="4" customFormat="false" ht="48" hidden="false" customHeight="true" outlineLevel="0" collapsed="false">
      <c r="A4" s="10" t="s">
        <v>42</v>
      </c>
      <c r="B4" s="16" t="n">
        <f aca="false">COUNTIF(Checklist!$B:$B,"Phase 1 – Bước 2: Nền tảng dữ liệu (C1+C6+C7)")</f>
        <v>17</v>
      </c>
      <c r="C4" s="14" t="n">
        <f aca="false">SUMIF(Checklist!$B:$B,"Phase 1 – Bước 2: Nền tảng dữ liệu (C1+C6+C7)",Checklist!$G:$G)</f>
        <v>17.5</v>
      </c>
      <c r="D4" s="10" t="s">
        <v>282</v>
      </c>
    </row>
    <row r="5" customFormat="false" ht="48" hidden="false" customHeight="true" outlineLevel="0" collapsed="false">
      <c r="A5" s="10" t="s">
        <v>69</v>
      </c>
      <c r="B5" s="16" t="n">
        <f aca="false">COUNTIF(Checklist!$B:$B,"Phase 1 – Bước 3: A01 Orchestrator")</f>
        <v>16</v>
      </c>
      <c r="C5" s="14" t="n">
        <f aca="false">SUMIF(Checklist!$B:$B,"Phase 1 – Bước 3: A01 Orchestrator",Checklist!$G:$G)</f>
        <v>18.25</v>
      </c>
      <c r="D5" s="10" t="s">
        <v>282</v>
      </c>
    </row>
    <row r="6" customFormat="false" ht="48" hidden="false" customHeight="true" outlineLevel="0" collapsed="false">
      <c r="A6" s="10" t="s">
        <v>94</v>
      </c>
      <c r="B6" s="16" t="n">
        <f aca="false">COUNTIF(Checklist!$B:$B,"Phase 1 – Bước 4: Context Packet MVP + P01-lite + Observability")</f>
        <v>11</v>
      </c>
      <c r="C6" s="14" t="n">
        <f aca="false">SUMIF(Checklist!$B:$B,"Phase 1 – Bước 4: Context Packet MVP + P01-lite + Observability",Checklist!$G:$G)</f>
        <v>12</v>
      </c>
      <c r="D6" s="10" t="s">
        <v>282</v>
      </c>
    </row>
    <row r="7" customFormat="false" ht="48" hidden="false" customHeight="true" outlineLevel="0" collapsed="false">
      <c r="A7" s="10" t="s">
        <v>113</v>
      </c>
      <c r="B7" s="16" t="n">
        <f aca="false">COUNTIF(Checklist!$B:$B,"Phase 1 – Bước 5: 5 Agent nội dung + FSM/Retry")</f>
        <v>34</v>
      </c>
      <c r="C7" s="14" t="n">
        <f aca="false">SUMIF(Checklist!$B:$B,"Phase 1 – Bước 5: 5 Agent nội dung + FSM/Retry",Checklist!$G:$G)</f>
        <v>46</v>
      </c>
      <c r="D7" s="10" t="s">
        <v>282</v>
      </c>
    </row>
    <row r="8" customFormat="false" ht="48" hidden="false" customHeight="true" outlineLevel="0" collapsed="false">
      <c r="A8" s="10" t="s">
        <v>153</v>
      </c>
      <c r="B8" s="16" t="n">
        <f aca="false">COUNTIF(Checklist!$B:$B,"Phase 1 – Bước 6: Portal + Internal App")</f>
        <v>13</v>
      </c>
      <c r="C8" s="14" t="n">
        <f aca="false">SUMIF(Checklist!$B:$B,"Phase 1 – Bước 6: Portal + Internal App",Checklist!$G:$G)</f>
        <v>21.5</v>
      </c>
      <c r="D8" s="10" t="s">
        <v>282</v>
      </c>
    </row>
    <row r="9" customFormat="false" ht="48" hidden="false" customHeight="true" outlineLevel="0" collapsed="false">
      <c r="A9" s="10" t="s">
        <v>171</v>
      </c>
      <c r="B9" s="16" t="n">
        <f aca="false">COUNTIF(Checklist!$B:$B,"Phase 1 – Bước 7: Hardening + Pilot thật")</f>
        <v>11</v>
      </c>
      <c r="C9" s="14" t="n">
        <f aca="false">SUMIF(Checklist!$B:$B,"Phase 1 – Bước 7: Hardening + Pilot thật",Checklist!$G:$G)</f>
        <v>10.5</v>
      </c>
      <c r="D9" s="10" t="s">
        <v>282</v>
      </c>
    </row>
    <row r="10" customFormat="false" ht="48" hidden="false" customHeight="true" outlineLevel="0" collapsed="false">
      <c r="A10" s="17" t="s">
        <v>283</v>
      </c>
      <c r="B10" s="18" t="n">
        <f aca="false">COUNTIF(Checklist!$B:$B,"Phase 1*")</f>
        <v>111</v>
      </c>
      <c r="C10" s="19" t="n">
        <f aca="false">SUMIF(Checklist!$B:$B,"Phase 1*",Checklist!$G:$G)</f>
        <v>131.25</v>
      </c>
      <c r="D10" s="17" t="s">
        <v>284</v>
      </c>
    </row>
    <row r="11" customFormat="false" ht="48" hidden="false" customHeight="true" outlineLevel="0" collapsed="false">
      <c r="A11" s="10" t="s">
        <v>185</v>
      </c>
      <c r="B11" s="16" t="n">
        <f aca="false">COUNTIF(Checklist!$B:$B,"Phase 2 – Vận hành pilot &amp; tinh chỉnh")</f>
        <v>14</v>
      </c>
      <c r="C11" s="14" t="n">
        <f aca="false">SUMIF(Checklist!$B:$B,"Phase 2 – Vận hành pilot &amp; tinh chỉnh",Checklist!$G:$G)</f>
        <v>37</v>
      </c>
      <c r="D11" s="10" t="s">
        <v>285</v>
      </c>
    </row>
    <row r="12" customFormat="false" ht="48" hidden="false" customHeight="true" outlineLevel="0" collapsed="false">
      <c r="A12" s="10" t="s">
        <v>206</v>
      </c>
      <c r="B12" s="16" t="n">
        <f aca="false">COUNTIF(Checklist!$B:$B,"Phase 3 – Tự động đăng bài (Meta)")</f>
        <v>16</v>
      </c>
      <c r="C12" s="14" t="n">
        <f aca="false">SUMIF(Checklist!$B:$B,"Phase 3 – Tự động đăng bài (Meta)",Checklist!$G:$G)</f>
        <v>24.5</v>
      </c>
      <c r="D12" s="10" t="s">
        <v>286</v>
      </c>
    </row>
    <row r="13" customFormat="false" ht="48" hidden="false" customHeight="true" outlineLevel="0" collapsed="false">
      <c r="A13" s="10" t="s">
        <v>226</v>
      </c>
      <c r="B13" s="16" t="n">
        <f aca="false">COUNTIF(Checklist!$B:$B,"Phase 4 – Phân tích số liệu &amp; học hỏi")</f>
        <v>15</v>
      </c>
      <c r="C13" s="14" t="n">
        <f aca="false">SUMIF(Checklist!$B:$B,"Phase 4 – Phân tích số liệu &amp; học hỏi",Checklist!$G:$G)</f>
        <v>25</v>
      </c>
      <c r="D13" s="10" t="s">
        <v>287</v>
      </c>
    </row>
    <row r="14" customFormat="false" ht="48" hidden="false" customHeight="true" outlineLevel="0" collapsed="false">
      <c r="A14" s="10" t="s">
        <v>244</v>
      </c>
      <c r="B14" s="16" t="n">
        <f aca="false">COUNTIF(Checklist!$B:$B,"Phase 5 – Chiến lược đầy đủ (B01 + RAG)")</f>
        <v>13</v>
      </c>
      <c r="C14" s="14" t="n">
        <f aca="false">SUMIF(Checklist!$B:$B,"Phase 5 – Chiến lược đầy đủ (B01 + RAG)",Checklist!$G:$G)</f>
        <v>26</v>
      </c>
      <c r="D14" s="10" t="s">
        <v>288</v>
      </c>
    </row>
    <row r="15" customFormat="false" ht="48" hidden="false" customHeight="true" outlineLevel="0" collapsed="false">
      <c r="A15" s="10" t="s">
        <v>259</v>
      </c>
      <c r="B15" s="16" t="n">
        <f aca="false">COUNTIF(Checklist!$B:$B,"Phase 6 – Mở rộng nhiều khách hàng")</f>
        <v>10</v>
      </c>
      <c r="C15" s="14" t="n">
        <f aca="false">SUMIF(Checklist!$B:$B,"Phase 6 – Mở rộng nhiều khách hàng",Checklist!$G:$G)</f>
        <v>20</v>
      </c>
      <c r="D15" s="10" t="s">
        <v>289</v>
      </c>
    </row>
    <row r="16" customFormat="false" ht="48" hidden="false" customHeight="true" outlineLevel="0" collapsed="false">
      <c r="A16" s="10" t="s">
        <v>271</v>
      </c>
      <c r="B16" s="16" t="n">
        <f aca="false">COUNTIF(Checklist!$B:$B,"Phase 7 – Đa dạng ngành &amp; nâng cấp trí nhớ")</f>
        <v>4</v>
      </c>
      <c r="C16" s="14" t="n">
        <f aca="false">SUMIF(Checklist!$B:$B,"Phase 7 – Đa dạng ngành &amp; nâng cấp trí nhớ",Checklist!$G:$G)</f>
        <v>11</v>
      </c>
      <c r="D16" s="10" t="s">
        <v>290</v>
      </c>
    </row>
    <row r="17" customFormat="false" ht="19.5" hidden="false" customHeight="true" outlineLevel="0" collapsed="false">
      <c r="A17" s="17" t="s">
        <v>291</v>
      </c>
      <c r="B17" s="18" t="n">
        <f aca="false">COUNTA(Checklist!$A2:$A195)</f>
        <v>194</v>
      </c>
      <c r="C17" s="19" t="n">
        <f aca="false">SUM(Checklist!$G2:$G195)</f>
        <v>279</v>
      </c>
      <c r="D1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20" t="s">
        <v>292</v>
      </c>
    </row>
    <row r="2" customFormat="false" ht="31.5" hidden="false" customHeight="true" outlineLevel="0" collapsed="false">
      <c r="A2" s="21" t="s">
        <v>293</v>
      </c>
      <c r="B2" s="21"/>
    </row>
    <row r="3" customFormat="false" ht="31.5" hidden="false" customHeight="true" outlineLevel="0" collapsed="false">
      <c r="A3" s="21" t="s">
        <v>294</v>
      </c>
      <c r="B3" s="21"/>
    </row>
    <row r="4" customFormat="false" ht="31.5" hidden="false" customHeight="true" outlineLevel="0" collapsed="false">
      <c r="A4" s="21" t="s">
        <v>295</v>
      </c>
      <c r="B4" s="21"/>
    </row>
    <row r="5" customFormat="false" ht="31.5" hidden="false" customHeight="true" outlineLevel="0" collapsed="false">
      <c r="A5" s="21" t="s">
        <v>296</v>
      </c>
      <c r="B5" s="21"/>
    </row>
    <row r="6" customFormat="false" ht="18" hidden="false" customHeight="true" outlineLevel="0" collapsed="false">
      <c r="A6" s="21" t="s">
        <v>297</v>
      </c>
      <c r="B6" s="21"/>
    </row>
    <row r="7" customFormat="false" ht="31.5" hidden="false" customHeight="true" outlineLevel="0" collapsed="false">
      <c r="A7" s="21" t="s">
        <v>298</v>
      </c>
      <c r="B7" s="21"/>
    </row>
    <row r="9" customFormat="false" ht="15" hidden="false" customHeight="false" outlineLevel="0" collapsed="false">
      <c r="A9" s="20" t="s">
        <v>299</v>
      </c>
    </row>
    <row r="10" customFormat="false" ht="31.5" hidden="false" customHeight="true" outlineLevel="0" collapsed="false">
      <c r="A10" s="21" t="s">
        <v>300</v>
      </c>
      <c r="B10" s="21"/>
    </row>
    <row r="11" customFormat="false" ht="31.5" hidden="false" customHeight="true" outlineLevel="0" collapsed="false">
      <c r="A11" s="21" t="s">
        <v>301</v>
      </c>
      <c r="B11" s="21"/>
    </row>
    <row r="12" customFormat="false" ht="31.5" hidden="false" customHeight="true" outlineLevel="0" collapsed="false">
      <c r="A12" s="21" t="s">
        <v>302</v>
      </c>
      <c r="B12" s="21"/>
    </row>
    <row r="13" customFormat="false" ht="31.5" hidden="false" customHeight="true" outlineLevel="0" collapsed="false">
      <c r="A13" s="21" t="s">
        <v>303</v>
      </c>
      <c r="B13" s="21"/>
    </row>
    <row r="15" customFormat="false" ht="15" hidden="false" customHeight="false" outlineLevel="0" collapsed="false">
      <c r="A15" s="20" t="s">
        <v>304</v>
      </c>
    </row>
    <row r="16" customFormat="false" ht="31.5" hidden="false" customHeight="true" outlineLevel="0" collapsed="false">
      <c r="A16" s="21" t="s">
        <v>305</v>
      </c>
      <c r="B16" s="21"/>
    </row>
    <row r="17" customFormat="false" ht="18" hidden="false" customHeight="true" outlineLevel="0" collapsed="false">
      <c r="A17" s="21" t="s">
        <v>306</v>
      </c>
      <c r="B17" s="21"/>
    </row>
    <row r="18" customFormat="false" ht="18" hidden="false" customHeight="true" outlineLevel="0" collapsed="false">
      <c r="A18" s="21" t="s">
        <v>307</v>
      </c>
      <c r="B18" s="21"/>
    </row>
    <row r="19" customFormat="false" ht="31.5" hidden="false" customHeight="true" outlineLevel="0" collapsed="false">
      <c r="A19" s="21" t="s">
        <v>308</v>
      </c>
      <c r="B19" s="21"/>
    </row>
    <row r="20" customFormat="false" ht="18" hidden="false" customHeight="true" outlineLevel="0" collapsed="false">
      <c r="A20" s="21" t="s">
        <v>309</v>
      </c>
      <c r="B20" s="21"/>
    </row>
    <row r="21" customFormat="false" ht="18" hidden="false" customHeight="true" outlineLevel="0" collapsed="false">
      <c r="A21" s="21" t="s">
        <v>310</v>
      </c>
      <c r="B21" s="21"/>
    </row>
    <row r="22" customFormat="false" ht="18" hidden="false" customHeight="true" outlineLevel="0" collapsed="false">
      <c r="A22" s="21" t="s">
        <v>311</v>
      </c>
      <c r="B22" s="21"/>
    </row>
    <row r="23" customFormat="false" ht="18" hidden="false" customHeight="true" outlineLevel="0" collapsed="false">
      <c r="A23" s="21" t="s">
        <v>312</v>
      </c>
      <c r="B23" s="21"/>
    </row>
    <row r="24" customFormat="false" ht="18" hidden="false" customHeight="true" outlineLevel="0" collapsed="false">
      <c r="A24" s="21" t="s">
        <v>313</v>
      </c>
      <c r="B24" s="21"/>
    </row>
    <row r="25" customFormat="false" ht="18" hidden="false" customHeight="true" outlineLevel="0" collapsed="false">
      <c r="A25" s="21" t="s">
        <v>314</v>
      </c>
      <c r="B25" s="21"/>
    </row>
    <row r="26" customFormat="false" ht="18" hidden="false" customHeight="true" outlineLevel="0" collapsed="false">
      <c r="A26" s="21" t="s">
        <v>315</v>
      </c>
      <c r="B26" s="21"/>
    </row>
    <row r="28" customFormat="false" ht="15" hidden="false" customHeight="false" outlineLevel="0" collapsed="false">
      <c r="A28" s="20" t="s">
        <v>316</v>
      </c>
    </row>
    <row r="29" customFormat="false" ht="18" hidden="false" customHeight="true" outlineLevel="0" collapsed="false">
      <c r="A29" s="21" t="s">
        <v>317</v>
      </c>
      <c r="B29" s="21"/>
    </row>
    <row r="30" customFormat="false" ht="18" hidden="false" customHeight="true" outlineLevel="0" collapsed="false">
      <c r="A30" s="21" t="s">
        <v>318</v>
      </c>
      <c r="B30" s="21"/>
    </row>
    <row r="31" customFormat="false" ht="18" hidden="false" customHeight="true" outlineLevel="0" collapsed="false">
      <c r="A31" s="21" t="s">
        <v>319</v>
      </c>
      <c r="B31" s="21"/>
    </row>
    <row r="32" customFormat="false" ht="18" hidden="false" customHeight="true" outlineLevel="0" collapsed="false">
      <c r="A32" s="21" t="s">
        <v>320</v>
      </c>
      <c r="B32" s="21"/>
    </row>
    <row r="33" customFormat="false" ht="18" hidden="false" customHeight="true" outlineLevel="0" collapsed="false">
      <c r="A33" s="21" t="s">
        <v>321</v>
      </c>
      <c r="B33" s="21"/>
    </row>
    <row r="35" customFormat="false" ht="15" hidden="false" customHeight="false" outlineLevel="0" collapsed="false">
      <c r="A35" s="20" t="s">
        <v>322</v>
      </c>
    </row>
    <row r="36" customFormat="false" ht="31.5" hidden="false" customHeight="true" outlineLevel="0" collapsed="false">
      <c r="A36" s="21" t="s">
        <v>323</v>
      </c>
      <c r="B36" s="21"/>
    </row>
    <row r="37" customFormat="false" ht="18" hidden="false" customHeight="true" outlineLevel="0" collapsed="false">
      <c r="A37" s="21" t="s">
        <v>324</v>
      </c>
      <c r="B37" s="21"/>
    </row>
    <row r="38" customFormat="false" ht="31.5" hidden="false" customHeight="true" outlineLevel="0" collapsed="false">
      <c r="A38" s="21" t="s">
        <v>325</v>
      </c>
      <c r="B38" s="21"/>
    </row>
  </sheetData>
  <mergeCells count="29">
    <mergeCell ref="A2:B2"/>
    <mergeCell ref="A3:B3"/>
    <mergeCell ref="A4:B4"/>
    <mergeCell ref="A5:B5"/>
    <mergeCell ref="A6:B6"/>
    <mergeCell ref="A7:B7"/>
    <mergeCell ref="A10:B10"/>
    <mergeCell ref="A11:B11"/>
    <mergeCell ref="A12:B12"/>
    <mergeCell ref="A13:B13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9:B29"/>
    <mergeCell ref="A30:B30"/>
    <mergeCell ref="A31:B31"/>
    <mergeCell ref="A32:B32"/>
    <mergeCell ref="A33:B33"/>
    <mergeCell ref="A36:B36"/>
    <mergeCell ref="A37:B37"/>
    <mergeCell ref="A38:B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2026-07-25T13:43:01Z</dcterms:created>
  <dc:creator>openpyxl</dc:creator>
  <dc:description/>
  <dc:language>en-US</dc:language>
  <cp:lastModifiedBy/>
  <dcterms:modified xsi:type="dcterms:W3CDTF">2026-07-25T13:43:01Z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