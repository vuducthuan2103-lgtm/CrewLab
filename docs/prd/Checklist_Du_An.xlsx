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Tổng quan" sheetId="2" state="visible" r:id="rId2"/>
    <sheet xmlns:r="http://schemas.openxmlformats.org/officeDocument/2006/relationships" name="Chú thích" sheetId="3" state="visible" r:id="rId3"/>
  </sheets>
  <definedNames>
    <definedName name="_xlnm._FilterDatabase" localSheetId="0" hidden="1">'Checklist'!$A$1:$K$171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/>
    </xf>
    <xf numFmtId="165" fontId="2" fillId="0" borderId="2" applyAlignment="1" pivotButton="0" quotePrefix="0" xfId="0">
      <alignment horizontal="left" vertical="top"/>
    </xf>
    <xf numFmtId="165" fontId="2" fillId="0" borderId="2" applyAlignment="1" pivotButton="0" quotePrefix="0" xfId="0">
      <alignment horizontal="center" vertical="top"/>
    </xf>
    <xf numFmtId="164" fontId="2" fillId="0" borderId="2" applyAlignment="1" pivotButton="0" quotePrefix="0" xfId="0">
      <alignment horizontal="center" vertical="top"/>
    </xf>
    <xf numFmtId="9" fontId="2" fillId="0" borderId="2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165" fontId="2" fillId="0" borderId="1" applyAlignment="1" pivotButton="0" quotePrefix="0" xfId="0">
      <alignment horizontal="left" vertical="top"/>
    </xf>
    <xf numFmtId="165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9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E1F2"/>
          <b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10" customWidth="1" min="4" max="4"/>
    <col width="12" customWidth="1" min="5" max="5"/>
    <col width="12" customWidth="1" min="6" max="6"/>
    <col width="11" customWidth="1" min="7" max="7"/>
    <col width="18" customWidth="1" min="8" max="8"/>
    <col width="15" customWidth="1" min="9" max="9"/>
    <col width="10" customWidth="1" min="10" max="10"/>
    <col width="34" customWidth="1" min="11" max="11"/>
  </cols>
  <sheetData>
    <row r="1" ht="26" customHeight="1">
      <c r="A1" s="1" t="inlineStr">
        <is>
          <t>STT</t>
        </is>
      </c>
      <c r="B1" s="1" t="inlineStr">
        <is>
          <t>Phase</t>
        </is>
      </c>
      <c r="C1" s="1" t="inlineStr">
        <is>
          <t>Công việc</t>
        </is>
      </c>
      <c r="D1" s="1" t="inlineStr">
        <is>
          <t>PIC</t>
        </is>
      </c>
      <c r="E1" s="1" t="inlineStr">
        <is>
          <t>Bắt đầu</t>
        </is>
      </c>
      <c r="F1" s="1" t="inlineStr">
        <is>
          <t>Kết thúc</t>
        </is>
      </c>
      <c r="G1" s="1" t="inlineStr">
        <is>
          <t>Thời lượng (ngày)</t>
        </is>
      </c>
      <c r="H1" s="1" t="inlineStr">
        <is>
          <t>Loại yêu cầu</t>
        </is>
      </c>
      <c r="I1" s="1" t="inlineStr">
        <is>
          <t>Tình trạng</t>
        </is>
      </c>
      <c r="J1" s="1" t="inlineStr">
        <is>
          <t>Tiến độ</t>
        </is>
      </c>
      <c r="K1" s="1" t="inlineStr">
        <is>
          <t>Ghi chú</t>
        </is>
      </c>
    </row>
    <row r="2" ht="30" customHeight="1">
      <c r="A2" s="2" t="n">
        <v>1</v>
      </c>
      <c r="B2" s="3" t="inlineStr">
        <is>
          <t>Phase 0 – Chuẩn bị &amp; Hạ tầng (Sprint 0)</t>
        </is>
      </c>
      <c r="C2" s="3" t="inlineStr">
        <is>
          <t>Xác nhận phạm vi Phase 1: chỉ build 5 agent theo MVP-Scope, KHÔNG build theo bản PRD đầy đủ (12 agent)</t>
        </is>
      </c>
      <c r="D2" s="4" t="inlineStr"/>
      <c r="E2" s="5" t="n"/>
      <c r="F2" s="6">
        <f>IF(E2="","",E2+ROUNDUP(G2,0)-1)</f>
        <v/>
      </c>
      <c r="G2" s="7" t="n">
        <v>0.5</v>
      </c>
      <c r="H2" s="3" t="inlineStr">
        <is>
          <t>Quyết định</t>
        </is>
      </c>
      <c r="I2" s="2" t="inlineStr">
        <is>
          <t>Chưa bắt đầu</t>
        </is>
      </c>
      <c r="J2" s="8" t="n">
        <v>0</v>
      </c>
      <c r="K2" s="3" t="inlineStr">
        <is>
          <t>Ghi vào docs/decisions/0000</t>
        </is>
      </c>
    </row>
    <row r="3" ht="30" customHeight="1">
      <c r="A3" s="9" t="n">
        <v>2</v>
      </c>
      <c r="B3" s="10" t="inlineStr">
        <is>
          <t>Phase 0 – Chuẩn bị &amp; Hạ tầng (Sprint 0)</t>
        </is>
      </c>
      <c r="C3" s="10" t="inlineStr">
        <is>
          <t>Chốt ngưỡng đạt/không đạt của Evaluator (E01): Caption ≥7.0/10 VÀ Visual ≥3.5/5 — Trường &amp; Thuận ký xác nhận</t>
        </is>
      </c>
      <c r="D3" s="11" t="inlineStr"/>
      <c r="E3" s="12" t="n"/>
      <c r="F3" s="13">
        <f>IF(E3="","",E3+ROUNDUP(G3,0)-1)</f>
        <v/>
      </c>
      <c r="G3" s="14" t="n">
        <v>0.5</v>
      </c>
      <c r="H3" s="10" t="inlineStr">
        <is>
          <t>Quyết định</t>
        </is>
      </c>
      <c r="I3" s="9" t="inlineStr">
        <is>
          <t>Chưa bắt đầu</t>
        </is>
      </c>
      <c r="J3" s="15" t="n">
        <v>0</v>
      </c>
      <c r="K3" s="10" t="inlineStr">
        <is>
          <t>Ghi vào docs/decisions/0001</t>
        </is>
      </c>
    </row>
    <row r="4" ht="30" customHeight="1">
      <c r="A4" s="9" t="n">
        <v>3</v>
      </c>
      <c r="B4" s="10" t="inlineStr">
        <is>
          <t>Phase 0 – Chuẩn bị &amp; Hạ tầng (Sprint 0)</t>
        </is>
      </c>
      <c r="C4" s="10" t="inlineStr">
        <is>
          <t>Chốt 4 mặc định tính năng phụ: không chạy chiến dịch ở Phase 1 / form thương hiệu ngắn / lọc ảnh bằng tag / xin ảnh nhắn tay</t>
        </is>
      </c>
      <c r="D4" s="11" t="inlineStr"/>
      <c r="E4" s="12" t="n"/>
      <c r="F4" s="13">
        <f>IF(E4="","",E4+ROUNDUP(G4,0)-1)</f>
        <v/>
      </c>
      <c r="G4" s="14" t="n">
        <v>0.5</v>
      </c>
      <c r="H4" s="10" t="inlineStr">
        <is>
          <t>Quyết định</t>
        </is>
      </c>
      <c r="I4" s="9" t="inlineStr">
        <is>
          <t>Chưa bắt đầu</t>
        </is>
      </c>
      <c r="J4" s="15" t="n">
        <v>0</v>
      </c>
      <c r="K4" s="10" t="inlineStr">
        <is>
          <t>MVP-Scope mục 7</t>
        </is>
      </c>
    </row>
    <row r="5" ht="30" customHeight="1">
      <c r="A5" s="9" t="n">
        <v>4</v>
      </c>
      <c r="B5" s="10" t="inlineStr">
        <is>
          <t>Phase 0 – Chuẩn bị &amp; Hạ tầng (Sprint 0)</t>
        </is>
      </c>
      <c r="C5" s="10" t="inlineStr">
        <is>
          <t>Tạo repository GitHub (private), mời 2 thành viên</t>
        </is>
      </c>
      <c r="D5" s="11" t="inlineStr"/>
      <c r="E5" s="12" t="n"/>
      <c r="F5" s="13">
        <f>IF(E5="","",E5+ROUNDUP(G5,0)-1)</f>
        <v/>
      </c>
      <c r="G5" s="14" t="n">
        <v>0.25</v>
      </c>
      <c r="H5" s="10" t="inlineStr">
        <is>
          <t>Hạ tầng</t>
        </is>
      </c>
      <c r="I5" s="9" t="inlineStr">
        <is>
          <t>Chưa bắt đầu</t>
        </is>
      </c>
      <c r="J5" s="15" t="n">
        <v>0</v>
      </c>
      <c r="K5" s="10" t="inlineStr"/>
    </row>
    <row r="6" ht="30" customHeight="1">
      <c r="A6" s="9" t="n">
        <v>5</v>
      </c>
      <c r="B6" s="10" t="inlineStr">
        <is>
          <t>Phase 0 – Chuẩn bị &amp; Hạ tầng (Sprint 0)</t>
        </is>
      </c>
      <c r="C6" s="10" t="inlineStr">
        <is>
          <t>Thêm file hướng dẫn AI (AGENTS.md) vào gốc repo, cả 2 đọc kỹ 1 lượt</t>
        </is>
      </c>
      <c r="D6" s="11" t="inlineStr"/>
      <c r="E6" s="12" t="n"/>
      <c r="F6" s="13">
        <f>IF(E6="","",E6+ROUNDUP(G6,0)-1)</f>
        <v/>
      </c>
      <c r="G6" s="14" t="n">
        <v>0.5</v>
      </c>
      <c r="H6" s="10" t="inlineStr">
        <is>
          <t>Tài liệu</t>
        </is>
      </c>
      <c r="I6" s="9" t="inlineStr">
        <is>
          <t>Chưa bắt đầu</t>
        </is>
      </c>
      <c r="J6" s="15" t="n">
        <v>0</v>
      </c>
      <c r="K6" s="10" t="inlineStr">
        <is>
          <t>Antigravity đọc đầu mỗi phiên làm việc</t>
        </is>
      </c>
    </row>
    <row r="7" ht="30" customHeight="1">
      <c r="A7" s="9" t="n">
        <v>6</v>
      </c>
      <c r="B7" s="10" t="inlineStr">
        <is>
          <t>Phase 0 – Chuẩn bị &amp; Hạ tầng (Sprint 0)</t>
        </is>
      </c>
      <c r="C7" s="10" t="inlineStr">
        <is>
          <t>Copy 2 tài liệu PRD gốc vào thư mục docs/prd, giữ nguyên không sửa trực tiếp</t>
        </is>
      </c>
      <c r="D7" s="11" t="inlineStr"/>
      <c r="E7" s="12" t="n"/>
      <c r="F7" s="13">
        <f>IF(E7="","",E7+ROUNDUP(G7,0)-1)</f>
        <v/>
      </c>
      <c r="G7" s="14" t="n">
        <v>0.25</v>
      </c>
      <c r="H7" s="10" t="inlineStr">
        <is>
          <t>Tài liệu</t>
        </is>
      </c>
      <c r="I7" s="9" t="inlineStr">
        <is>
          <t>Chưa bắt đầu</t>
        </is>
      </c>
      <c r="J7" s="15" t="n">
        <v>0</v>
      </c>
      <c r="K7" s="10" t="inlineStr"/>
    </row>
    <row r="8" ht="30" customHeight="1">
      <c r="A8" s="9" t="n">
        <v>7</v>
      </c>
      <c r="B8" s="10" t="inlineStr">
        <is>
          <t>Phase 0 – Chuẩn bị &amp; Hạ tầng (Sprint 0)</t>
        </is>
      </c>
      <c r="C8" s="10" t="inlineStr">
        <is>
          <t>Phân chia phụ trách module: 1 người phụ trách Backend/Agent logic, 1 người phụ trách Portal &amp; Internal App</t>
        </is>
      </c>
      <c r="D8" s="11" t="inlineStr"/>
      <c r="E8" s="12" t="n"/>
      <c r="F8" s="13">
        <f>IF(E8="","",E8+ROUNDUP(G8,0)-1)</f>
        <v/>
      </c>
      <c r="G8" s="14" t="n">
        <v>0.25</v>
      </c>
      <c r="H8" s="10" t="inlineStr">
        <is>
          <t>Quyết định</t>
        </is>
      </c>
      <c r="I8" s="9" t="inlineStr">
        <is>
          <t>Chưa bắt đầu</t>
        </is>
      </c>
      <c r="J8" s="15" t="n">
        <v>0</v>
      </c>
      <c r="K8" s="10" t="inlineStr">
        <is>
          <t>Giảm đụng file trùng giữa 2 người</t>
        </is>
      </c>
    </row>
    <row r="9" ht="30" customHeight="1">
      <c r="A9" s="9" t="n">
        <v>8</v>
      </c>
      <c r="B9" s="10" t="inlineStr">
        <is>
          <t>Phase 0 – Chuẩn bị &amp; Hạ tầng (Sprint 0)</t>
        </is>
      </c>
      <c r="C9" s="10" t="inlineStr">
        <is>
          <t>Bật GitHub MCP trong Antigravity trên cả 2 máy (git/PR bằng lời nói)</t>
        </is>
      </c>
      <c r="D9" s="11" t="inlineStr"/>
      <c r="E9" s="12" t="n"/>
      <c r="F9" s="13">
        <f>IF(E9="","",E9+ROUNDUP(G9,0)-1)</f>
        <v/>
      </c>
      <c r="G9" s="14" t="n">
        <v>0.25</v>
      </c>
      <c r="H9" s="10" t="inlineStr">
        <is>
          <t>Hạ tầng</t>
        </is>
      </c>
      <c r="I9" s="9" t="inlineStr">
        <is>
          <t>Chưa bắt đầu</t>
        </is>
      </c>
      <c r="J9" s="15" t="n">
        <v>0</v>
      </c>
      <c r="K9" s="10" t="inlineStr"/>
    </row>
    <row r="10" ht="30" customHeight="1">
      <c r="A10" s="9" t="n">
        <v>9</v>
      </c>
      <c r="B10" s="10" t="inlineStr">
        <is>
          <t>Phase 0 – Chuẩn bị &amp; Hạ tầng (Sprint 0)</t>
        </is>
      </c>
      <c r="C10" s="10" t="inlineStr">
        <is>
          <t>Bật bảo vệ nhánh main (bắt buộc qua Pull Request, không cho push thẳng)</t>
        </is>
      </c>
      <c r="D10" s="11" t="inlineStr"/>
      <c r="E10" s="12" t="n"/>
      <c r="F10" s="13">
        <f>IF(E10="","",E10+ROUNDUP(G10,0)-1)</f>
        <v/>
      </c>
      <c r="G10" s="14" t="n">
        <v>0.25</v>
      </c>
      <c r="H10" s="10" t="inlineStr">
        <is>
          <t>Hạ tầng</t>
        </is>
      </c>
      <c r="I10" s="9" t="inlineStr">
        <is>
          <t>Chưa bắt đầu</t>
        </is>
      </c>
      <c r="J10" s="15" t="n">
        <v>0</v>
      </c>
      <c r="K10" s="10" t="inlineStr"/>
    </row>
    <row r="11" ht="30" customHeight="1">
      <c r="A11" s="9" t="n">
        <v>10</v>
      </c>
      <c r="B11" s="10" t="inlineStr">
        <is>
          <t>Phase 0 – Chuẩn bị &amp; Hạ tầng (Sprint 0)</t>
        </is>
      </c>
      <c r="C11" s="10" t="inlineStr">
        <is>
          <t>Setup bảng theo dõi công việc (GitHub Projects kanban)</t>
        </is>
      </c>
      <c r="D11" s="11" t="inlineStr"/>
      <c r="E11" s="12" t="n"/>
      <c r="F11" s="13">
        <f>IF(E11="","",E11+ROUNDUP(G11,0)-1)</f>
        <v/>
      </c>
      <c r="G11" s="14" t="n">
        <v>0.5</v>
      </c>
      <c r="H11" s="10" t="inlineStr">
        <is>
          <t>Vận hành</t>
        </is>
      </c>
      <c r="I11" s="9" t="inlineStr">
        <is>
          <t>Chưa bắt đầu</t>
        </is>
      </c>
      <c r="J11" s="15" t="n">
        <v>0</v>
      </c>
      <c r="K11" s="10" t="inlineStr"/>
    </row>
    <row r="12" ht="30" customHeight="1">
      <c r="A12" s="9" t="n">
        <v>11</v>
      </c>
      <c r="B12" s="10" t="inlineStr">
        <is>
          <t>Phase 0 – Chuẩn bị &amp; Hạ tầng (Sprint 0)</t>
        </is>
      </c>
      <c r="C12" s="10" t="inlineStr">
        <is>
          <t>Thuê &amp; cấu hình VPS Hetzner CAX31</t>
        </is>
      </c>
      <c r="D12" s="11" t="inlineStr"/>
      <c r="E12" s="12" t="n"/>
      <c r="F12" s="13">
        <f>IF(E12="","",E12+ROUNDUP(G12,0)-1)</f>
        <v/>
      </c>
      <c r="G12" s="14" t="n">
        <v>0.5</v>
      </c>
      <c r="H12" s="10" t="inlineStr">
        <is>
          <t>Hạ tầng</t>
        </is>
      </c>
      <c r="I12" s="9" t="inlineStr">
        <is>
          <t>Chưa bắt đầu</t>
        </is>
      </c>
      <c r="J12" s="15" t="n">
        <v>0</v>
      </c>
      <c r="K12" s="10" t="inlineStr">
        <is>
          <t>~€15-16/tháng</t>
        </is>
      </c>
    </row>
    <row r="13" ht="30" customHeight="1">
      <c r="A13" s="9" t="n">
        <v>12</v>
      </c>
      <c r="B13" s="10" t="inlineStr">
        <is>
          <t>Phase 0 – Chuẩn bị &amp; Hạ tầng (Sprint 0)</t>
        </is>
      </c>
      <c r="C13" s="10" t="inlineStr">
        <is>
          <t>Cài Coolify lên VPS để deploy kiểu kéo-thả (git push tự deploy)</t>
        </is>
      </c>
      <c r="D13" s="11" t="inlineStr"/>
      <c r="E13" s="12" t="n"/>
      <c r="F13" s="13">
        <f>IF(E13="","",E13+ROUNDUP(G13,0)-1)</f>
        <v/>
      </c>
      <c r="G13" s="14" t="n">
        <v>1</v>
      </c>
      <c r="H13" s="10" t="inlineStr">
        <is>
          <t>Hạ tầng</t>
        </is>
      </c>
      <c r="I13" s="9" t="inlineStr">
        <is>
          <t>Chưa bắt đầu</t>
        </is>
      </c>
      <c r="J13" s="15" t="n">
        <v>0</v>
      </c>
      <c r="K13" s="10" t="inlineStr"/>
    </row>
    <row r="14" ht="30" customHeight="1">
      <c r="A14" s="9" t="n">
        <v>13</v>
      </c>
      <c r="B14" s="10" t="inlineStr">
        <is>
          <t>Phase 0 – Chuẩn bị &amp; Hạ tầng (Sprint 0)</t>
        </is>
      </c>
      <c r="C14" s="10" t="inlineStr">
        <is>
          <t>Tạo project Supabase cho Production (PostgreSQL + Auth + Storage)</t>
        </is>
      </c>
      <c r="D14" s="11" t="inlineStr"/>
      <c r="E14" s="12" t="n"/>
      <c r="F14" s="13">
        <f>IF(E14="","",E14+ROUNDUP(G14,0)-1)</f>
        <v/>
      </c>
      <c r="G14" s="14" t="n">
        <v>0.5</v>
      </c>
      <c r="H14" s="10" t="inlineStr">
        <is>
          <t>Hạ tầng</t>
        </is>
      </c>
      <c r="I14" s="9" t="inlineStr">
        <is>
          <t>Chưa bắt đầu</t>
        </is>
      </c>
      <c r="J14" s="15" t="n">
        <v>0</v>
      </c>
      <c r="K14" s="10" t="inlineStr"/>
    </row>
    <row r="15" ht="30" customHeight="1">
      <c r="A15" s="9" t="n">
        <v>14</v>
      </c>
      <c r="B15" s="10" t="inlineStr">
        <is>
          <t>Phase 0 – Chuẩn bị &amp; Hạ tầng (Sprint 0)</t>
        </is>
      </c>
      <c r="C15" s="10" t="inlineStr">
        <is>
          <t>Tạo project Supabase RIÊNG cho Staging (tách biệt hoàn toàn, không chung DB Production)</t>
        </is>
      </c>
      <c r="D15" s="11" t="inlineStr"/>
      <c r="E15" s="12" t="n"/>
      <c r="F15" s="13">
        <f>IF(E15="","",E15+ROUNDUP(G15,0)-1)</f>
        <v/>
      </c>
      <c r="G15" s="14" t="n">
        <v>0.5</v>
      </c>
      <c r="H15" s="10" t="inlineStr">
        <is>
          <t>Hạ tầng</t>
        </is>
      </c>
      <c r="I15" s="9" t="inlineStr">
        <is>
          <t>Chưa bắt đầu</t>
        </is>
      </c>
      <c r="J15" s="15" t="n">
        <v>0</v>
      </c>
      <c r="K15" s="10" t="inlineStr"/>
    </row>
    <row r="16" ht="30" customHeight="1">
      <c r="A16" s="9" t="n">
        <v>15</v>
      </c>
      <c r="B16" s="10" t="inlineStr">
        <is>
          <t>Phase 0 – Chuẩn bị &amp; Hạ tầng (Sprint 0)</t>
        </is>
      </c>
      <c r="C16" s="10" t="inlineStr">
        <is>
          <t>Đăng ký &amp; trỏ domain: domain chính cho Client Portal, subdomain miễn phí cho Internal App, domain riêng cho Backend API</t>
        </is>
      </c>
      <c r="D16" s="11" t="inlineStr"/>
      <c r="E16" s="12" t="n"/>
      <c r="F16" s="13">
        <f>IF(E16="","",E16+ROUNDUP(G16,0)-1)</f>
        <v/>
      </c>
      <c r="G16" s="14" t="n">
        <v>0.5</v>
      </c>
      <c r="H16" s="10" t="inlineStr">
        <is>
          <t>Hạ tầng</t>
        </is>
      </c>
      <c r="I16" s="9" t="inlineStr">
        <is>
          <t>Chưa bắt đầu</t>
        </is>
      </c>
      <c r="J16" s="15" t="n">
        <v>0</v>
      </c>
      <c r="K16" s="10" t="inlineStr"/>
    </row>
    <row r="17" ht="30" customHeight="1">
      <c r="A17" s="9" t="n">
        <v>16</v>
      </c>
      <c r="B17" s="10" t="inlineStr">
        <is>
          <t>Phase 0 – Chuẩn bị &amp; Hạ tầng (Sprint 0)</t>
        </is>
      </c>
      <c r="C17" s="10" t="inlineStr">
        <is>
          <t>Cấu hình CORS &amp; biến môi trường tách biệt Local/Staging/Production</t>
        </is>
      </c>
      <c r="D17" s="11" t="inlineStr"/>
      <c r="E17" s="12" t="n"/>
      <c r="F17" s="13">
        <f>IF(E17="","",E17+ROUNDUP(G17,0)-1)</f>
        <v/>
      </c>
      <c r="G17" s="14" t="n">
        <v>0.5</v>
      </c>
      <c r="H17" s="10" t="inlineStr">
        <is>
          <t>Hạ tầng</t>
        </is>
      </c>
      <c r="I17" s="9" t="inlineStr">
        <is>
          <t>Chưa bắt đầu</t>
        </is>
      </c>
      <c r="J17" s="15" t="n">
        <v>0</v>
      </c>
      <c r="K17" s="10" t="inlineStr"/>
    </row>
    <row r="18" ht="30" customHeight="1">
      <c r="A18" s="9" t="n">
        <v>17</v>
      </c>
      <c r="B18" s="10" t="inlineStr">
        <is>
          <t>Phase 0 – Chuẩn bị &amp; Hạ tầng (Sprint 0)</t>
        </is>
      </c>
      <c r="C18" s="10" t="inlineStr">
        <is>
          <t>Setup Redis (hàng đợi tác vụ nền) trên VPS</t>
        </is>
      </c>
      <c r="D18" s="11" t="inlineStr"/>
      <c r="E18" s="12" t="n"/>
      <c r="F18" s="13">
        <f>IF(E18="","",E18+ROUNDUP(G18,0)-1)</f>
        <v/>
      </c>
      <c r="G18" s="14" t="n">
        <v>0.5</v>
      </c>
      <c r="H18" s="10" t="inlineStr">
        <is>
          <t>Hạ tầng</t>
        </is>
      </c>
      <c r="I18" s="9" t="inlineStr">
        <is>
          <t>Chưa bắt đầu</t>
        </is>
      </c>
      <c r="J18" s="15" t="n">
        <v>0</v>
      </c>
      <c r="K18" s="10" t="inlineStr"/>
    </row>
    <row r="19" ht="30" customHeight="1">
      <c r="A19" s="9" t="n">
        <v>18</v>
      </c>
      <c r="B19" s="10" t="inlineStr">
        <is>
          <t>Phase 0 – Chuẩn bị &amp; Hạ tầng (Sprint 0)</t>
        </is>
      </c>
      <c r="C19" s="10" t="inlineStr">
        <is>
          <t>Setup Celery Worker + Beat chạy nền cơ bản, thử chạy 1 tác vụ test</t>
        </is>
      </c>
      <c r="D19" s="11" t="inlineStr"/>
      <c r="E19" s="12" t="n"/>
      <c r="F19" s="13">
        <f>IF(E19="","",E19+ROUNDUP(G19,0)-1)</f>
        <v/>
      </c>
      <c r="G19" s="14" t="n">
        <v>1</v>
      </c>
      <c r="H19" s="10" t="inlineStr">
        <is>
          <t>Hạ tầng</t>
        </is>
      </c>
      <c r="I19" s="9" t="inlineStr">
        <is>
          <t>Chưa bắt đầu</t>
        </is>
      </c>
      <c r="J19" s="15" t="n">
        <v>0</v>
      </c>
      <c r="K19" s="10" t="inlineStr"/>
    </row>
    <row r="20" ht="30" customHeight="1">
      <c r="A20" s="9" t="n">
        <v>19</v>
      </c>
      <c r="B20" s="10" t="inlineStr">
        <is>
          <t>Phase 0 – Chuẩn bị &amp; Hạ tầng (Sprint 0)</t>
        </is>
      </c>
      <c r="C20" s="10" t="inlineStr">
        <is>
          <t>Setup CI/CD: push code lên main tự động deploy qua Coolify</t>
        </is>
      </c>
      <c r="D20" s="11" t="inlineStr"/>
      <c r="E20" s="12" t="n"/>
      <c r="F20" s="13">
        <f>IF(E20="","",E20+ROUNDUP(G20,0)-1)</f>
        <v/>
      </c>
      <c r="G20" s="14" t="n">
        <v>0.5</v>
      </c>
      <c r="H20" s="10" t="inlineStr">
        <is>
          <t>Hạ tầng</t>
        </is>
      </c>
      <c r="I20" s="9" t="inlineStr">
        <is>
          <t>Chưa bắt đầu</t>
        </is>
      </c>
      <c r="J20" s="15" t="n">
        <v>0</v>
      </c>
      <c r="K20" s="10" t="inlineStr"/>
    </row>
    <row r="21" ht="30" customHeight="1">
      <c r="A21" s="9" t="n">
        <v>20</v>
      </c>
      <c r="B21" s="10" t="inlineStr">
        <is>
          <t>Phase 0 – Chuẩn bị &amp; Hạ tầng (Sprint 0)</t>
        </is>
      </c>
      <c r="C21" s="10" t="inlineStr">
        <is>
          <t>Viết spec đầu tiên (spec.md): Database rút gọn — vì mọi agent khác phụ thuộc bảng bài đăng/FSM này</t>
        </is>
      </c>
      <c r="D21" s="11" t="inlineStr"/>
      <c r="E21" s="12" t="n"/>
      <c r="F21" s="13">
        <f>IF(E21="","",E21+ROUNDUP(G21,0)-1)</f>
        <v/>
      </c>
      <c r="G21" s="14" t="n">
        <v>0.5</v>
      </c>
      <c r="H21" s="10" t="inlineStr">
        <is>
          <t>Tài liệu</t>
        </is>
      </c>
      <c r="I21" s="9" t="inlineStr">
        <is>
          <t>Chưa bắt đầu</t>
        </is>
      </c>
      <c r="J21" s="15" t="n">
        <v>0</v>
      </c>
      <c r="K21" s="10" t="inlineStr">
        <is>
          <t>specs/0001-postgres-schema-mvp</t>
        </is>
      </c>
    </row>
    <row r="22" ht="30" customHeight="1">
      <c r="A22" s="2" t="n">
        <v>21</v>
      </c>
      <c r="B22" s="3" t="inlineStr">
        <is>
          <t>Phase 1 – Sprint 1: Nền tảng dữ liệu</t>
        </is>
      </c>
      <c r="C22" s="3" t="inlineStr">
        <is>
          <t>Thiết kế &amp; tạo bảng "Khách hàng" (tên quán, ngành, timezone, platform dùng, trạng thái hoạt động)</t>
        </is>
      </c>
      <c r="D22" s="4" t="inlineStr"/>
      <c r="E22" s="5" t="n"/>
      <c r="F22" s="6">
        <f>IF(E22="","",E22+ROUNDUP(G22,0)-1)</f>
        <v/>
      </c>
      <c r="G22" s="7" t="n">
        <v>1</v>
      </c>
      <c r="H22" s="3" t="inlineStr">
        <is>
          <t>Dữ liệu</t>
        </is>
      </c>
      <c r="I22" s="2" t="inlineStr">
        <is>
          <t>Chưa bắt đầu</t>
        </is>
      </c>
      <c r="J22" s="8" t="n">
        <v>0</v>
      </c>
      <c r="K22" s="3" t="inlineStr">
        <is>
          <t>Tầng 1 - C1</t>
        </is>
      </c>
    </row>
    <row r="23" ht="30" customHeight="1">
      <c r="A23" s="9" t="n">
        <v>22</v>
      </c>
      <c r="B23" s="10" t="inlineStr">
        <is>
          <t>Phase 1 – Sprint 1: Nền tảng dữ liệu</t>
        </is>
      </c>
      <c r="C23" s="10" t="inlineStr">
        <is>
          <t>Thiết kế &amp; tạo bảng "Người dùng" với 3 vai trò: agency_admin, client_admin, client_staff</t>
        </is>
      </c>
      <c r="D23" s="11" t="inlineStr"/>
      <c r="E23" s="12" t="n"/>
      <c r="F23" s="13">
        <f>IF(E23="","",E23+ROUNDUP(G23,0)-1)</f>
        <v/>
      </c>
      <c r="G23" s="14" t="n">
        <v>1</v>
      </c>
      <c r="H23" s="10" t="inlineStr">
        <is>
          <t>Dữ liệu</t>
        </is>
      </c>
      <c r="I23" s="9" t="inlineStr">
        <is>
          <t>Chưa bắt đầu</t>
        </is>
      </c>
      <c r="J23" s="15" t="n">
        <v>0</v>
      </c>
      <c r="K23" s="10" t="inlineStr">
        <is>
          <t>Tầng 1 - C1</t>
        </is>
      </c>
    </row>
    <row r="24" ht="30" customHeight="1">
      <c r="A24" s="9" t="n">
        <v>23</v>
      </c>
      <c r="B24" s="10" t="inlineStr">
        <is>
          <t>Phase 1 – Sprint 1: Nền tảng dữ liệu</t>
        </is>
      </c>
      <c r="C24" s="10" t="inlineStr">
        <is>
          <t>Thiết kế &amp; tạo bảng "Cấu hình thương hiệu": tông giọng, từ khoá tính cách, phong cách viết, từ cấm, caption mẫu, màu thương hiệu, logo — lưu lịch sử thay đổi (không ghi đè bản cũ)</t>
        </is>
      </c>
      <c r="D24" s="11" t="inlineStr"/>
      <c r="E24" s="12" t="n"/>
      <c r="F24" s="13">
        <f>IF(E24="","",E24+ROUNDUP(G24,0)-1)</f>
        <v/>
      </c>
      <c r="G24" s="14" t="n">
        <v>1.5</v>
      </c>
      <c r="H24" s="10" t="inlineStr">
        <is>
          <t>Dữ liệu</t>
        </is>
      </c>
      <c r="I24" s="9" t="inlineStr">
        <is>
          <t>Chưa bắt đầu</t>
        </is>
      </c>
      <c r="J24" s="15" t="n">
        <v>0</v>
      </c>
      <c r="K24" s="10" t="inlineStr">
        <is>
          <t>Tầng 1 - C1, versioned</t>
        </is>
      </c>
    </row>
    <row r="25" ht="30" customHeight="1">
      <c r="A25" s="9" t="n">
        <v>24</v>
      </c>
      <c r="B25" s="10" t="inlineStr">
        <is>
          <t>Phase 1 – Sprint 1: Nền tảng dữ liệu</t>
        </is>
      </c>
      <c r="C25" s="10" t="inlineStr">
        <is>
          <t>Thiết kế &amp; tạo bảng "Trụ nội dung"</t>
        </is>
      </c>
      <c r="D25" s="11" t="inlineStr"/>
      <c r="E25" s="12" t="n"/>
      <c r="F25" s="13">
        <f>IF(E25="","",E25+ROUNDUP(G25,0)-1)</f>
        <v/>
      </c>
      <c r="G25" s="14" t="n">
        <v>0.5</v>
      </c>
      <c r="H25" s="10" t="inlineStr">
        <is>
          <t>Dữ liệu</t>
        </is>
      </c>
      <c r="I25" s="9" t="inlineStr">
        <is>
          <t>Chưa bắt đầu</t>
        </is>
      </c>
      <c r="J25" s="15" t="n">
        <v>0</v>
      </c>
      <c r="K25" s="10" t="inlineStr">
        <is>
          <t>Tầng 1 - C1</t>
        </is>
      </c>
    </row>
    <row r="26" ht="30" customHeight="1">
      <c r="A26" s="9" t="n">
        <v>25</v>
      </c>
      <c r="B26" s="10" t="inlineStr">
        <is>
          <t>Phase 1 – Sprint 1: Nền tảng dữ liệu</t>
        </is>
      </c>
      <c r="C26" s="10" t="inlineStr">
        <is>
          <t>Thiết kế &amp; tạo bảng "Bài đăng" với đầy đủ 13 trạng thái vòng đời rút gọn</t>
        </is>
      </c>
      <c r="D26" s="11" t="inlineStr"/>
      <c r="E26" s="12" t="n"/>
      <c r="F26" s="13">
        <f>IF(E26="","",E26+ROUNDUP(G26,0)-1)</f>
        <v/>
      </c>
      <c r="G26" s="14" t="n">
        <v>1.5</v>
      </c>
      <c r="H26" s="10" t="inlineStr">
        <is>
          <t>Dữ liệu</t>
        </is>
      </c>
      <c r="I26" s="9" t="inlineStr">
        <is>
          <t>Chưa bắt đầu</t>
        </is>
      </c>
      <c r="J26" s="15" t="n">
        <v>0</v>
      </c>
      <c r="K26" s="10" t="inlineStr">
        <is>
          <t>Nền tảng cho mọi agent khác</t>
        </is>
      </c>
    </row>
    <row r="27" ht="30" customHeight="1">
      <c r="A27" s="9" t="n">
        <v>26</v>
      </c>
      <c r="B27" s="10" t="inlineStr">
        <is>
          <t>Phase 1 – Sprint 1: Nền tảng dữ liệu</t>
        </is>
      </c>
      <c r="C27" s="10" t="inlineStr">
        <is>
          <t>Thiết kế &amp; tạo bảng "Lịch sử duyệt" — chỉ được ghi thêm, không cho sửa/xoá</t>
        </is>
      </c>
      <c r="D27" s="11" t="inlineStr"/>
      <c r="E27" s="12" t="n"/>
      <c r="F27" s="13">
        <f>IF(E27="","",E27+ROUNDUP(G27,0)-1)</f>
        <v/>
      </c>
      <c r="G27" s="14" t="n">
        <v>1</v>
      </c>
      <c r="H27" s="10" t="inlineStr">
        <is>
          <t>Dữ liệu</t>
        </is>
      </c>
      <c r="I27" s="9" t="inlineStr">
        <is>
          <t>Chưa bắt đầu</t>
        </is>
      </c>
      <c r="J27" s="15" t="n">
        <v>0</v>
      </c>
      <c r="K27" s="10" t="inlineStr"/>
    </row>
    <row r="28" ht="30" customHeight="1">
      <c r="A28" s="9" t="n">
        <v>27</v>
      </c>
      <c r="B28" s="10" t="inlineStr">
        <is>
          <t>Phase 1 – Sprint 1: Nền tảng dữ liệu</t>
        </is>
      </c>
      <c r="C28" s="10" t="inlineStr">
        <is>
          <t>Thiết kế &amp; tạo bảng "Nhật ký thao tác" — ghi lại mọi hành động quan trọng, không cho sửa/xoá</t>
        </is>
      </c>
      <c r="D28" s="11" t="inlineStr"/>
      <c r="E28" s="12" t="n"/>
      <c r="F28" s="13">
        <f>IF(E28="","",E28+ROUNDUP(G28,0)-1)</f>
        <v/>
      </c>
      <c r="G28" s="14" t="n">
        <v>1</v>
      </c>
      <c r="H28" s="10" t="inlineStr">
        <is>
          <t>Dữ liệu</t>
        </is>
      </c>
      <c r="I28" s="9" t="inlineStr">
        <is>
          <t>Chưa bắt đầu</t>
        </is>
      </c>
      <c r="J28" s="15" t="n">
        <v>0</v>
      </c>
      <c r="K28" s="10" t="inlineStr"/>
    </row>
    <row r="29" ht="30" customHeight="1">
      <c r="A29" s="9" t="n">
        <v>28</v>
      </c>
      <c r="B29" s="10" t="inlineStr">
        <is>
          <t>Phase 1 – Sprint 1: Nền tảng dữ liệu</t>
        </is>
      </c>
      <c r="C29" s="10" t="inlineStr">
        <is>
          <t>Thiết kế &amp; tạo bảng "Trí nhớ Agent" thay Hindsight: agent nào, khách nào, loại việc, tóm tắt input/output, điểm số, phản hồi con người, thời gian</t>
        </is>
      </c>
      <c r="D29" s="11" t="inlineStr"/>
      <c r="E29" s="12" t="n"/>
      <c r="F29" s="13">
        <f>IF(E29="","",E29+ROUNDUP(G29,0)-1)</f>
        <v/>
      </c>
      <c r="G29" s="14" t="n">
        <v>1</v>
      </c>
      <c r="H29" s="10" t="inlineStr">
        <is>
          <t>Dữ liệu</t>
        </is>
      </c>
      <c r="I29" s="9" t="inlineStr">
        <is>
          <t>Chưa bắt đầu</t>
        </is>
      </c>
      <c r="J29" s="15" t="n">
        <v>0</v>
      </c>
      <c r="K29" s="10" t="inlineStr">
        <is>
          <t>Thay Hindsight - bản Postgres đơn giản</t>
        </is>
      </c>
    </row>
    <row r="30" ht="30" customHeight="1">
      <c r="A30" s="9" t="n">
        <v>29</v>
      </c>
      <c r="B30" s="10" t="inlineStr">
        <is>
          <t>Phase 1 – Sprint 1: Nền tảng dữ liệu</t>
        </is>
      </c>
      <c r="C30" s="10" t="inlineStr">
        <is>
          <t>Thiết kế &amp; tạo bảng "Thư viện ảnh": đường dẫn file, loại ảnh, nguồn gốc, trạng thái duyệt, tag, quyền sử dụng, kích thước</t>
        </is>
      </c>
      <c r="D30" s="11" t="inlineStr"/>
      <c r="E30" s="12" t="n"/>
      <c r="F30" s="13">
        <f>IF(E30="","",E30+ROUNDUP(G30,0)-1)</f>
        <v/>
      </c>
      <c r="G30" s="14" t="n">
        <v>1</v>
      </c>
      <c r="H30" s="10" t="inlineStr">
        <is>
          <t>Dữ liệu</t>
        </is>
      </c>
      <c r="I30" s="9" t="inlineStr">
        <is>
          <t>Chưa bắt đầu</t>
        </is>
      </c>
      <c r="J30" s="15" t="n">
        <v>0</v>
      </c>
      <c r="K30" s="10" t="inlineStr">
        <is>
          <t>Tầng 1 - C7</t>
        </is>
      </c>
    </row>
    <row r="31" ht="30" customHeight="1">
      <c r="A31" s="9" t="n">
        <v>30</v>
      </c>
      <c r="B31" s="10" t="inlineStr">
        <is>
          <t>Phase 1 – Sprint 1: Nền tảng dữ liệu</t>
        </is>
      </c>
      <c r="C31" s="10" t="inlineStr">
        <is>
          <t>Thiết kế &amp; tạo bảng "Yêu cầu xin ảnh": mô tả cần chụp, hạn chót, trạng thái, mức ưu tiên</t>
        </is>
      </c>
      <c r="D31" s="11" t="inlineStr"/>
      <c r="E31" s="12" t="n"/>
      <c r="F31" s="13">
        <f>IF(E31="","",E31+ROUNDUP(G31,0)-1)</f>
        <v/>
      </c>
      <c r="G31" s="14" t="n">
        <v>1</v>
      </c>
      <c r="H31" s="10" t="inlineStr">
        <is>
          <t>Dữ liệu</t>
        </is>
      </c>
      <c r="I31" s="9" t="inlineStr">
        <is>
          <t>Chưa bắt đầu</t>
        </is>
      </c>
      <c r="J31" s="15" t="n">
        <v>0</v>
      </c>
      <c r="K31" s="10" t="inlineStr">
        <is>
          <t>Cần trường hạn chót cho job kiểm tra hết hạn</t>
        </is>
      </c>
    </row>
    <row r="32" ht="30" customHeight="1">
      <c r="A32" s="9" t="n">
        <v>31</v>
      </c>
      <c r="B32" s="10" t="inlineStr">
        <is>
          <t>Phase 1 – Sprint 1: Nền tảng dữ liệu</t>
        </is>
      </c>
      <c r="C32" s="10" t="inlineStr">
        <is>
          <t>Viết migration chạy được nhiều lần không lỗi, không làm mất dữ liệu cũ</t>
        </is>
      </c>
      <c r="D32" s="11" t="inlineStr"/>
      <c r="E32" s="12" t="n"/>
      <c r="F32" s="13">
        <f>IF(E32="","",E32+ROUNDUP(G32,0)-1)</f>
        <v/>
      </c>
      <c r="G32" s="14" t="n">
        <v>1</v>
      </c>
      <c r="H32" s="10" t="inlineStr">
        <is>
          <t>Hạ tầng</t>
        </is>
      </c>
      <c r="I32" s="9" t="inlineStr">
        <is>
          <t>Chưa bắt đầu</t>
        </is>
      </c>
      <c r="J32" s="15" t="n">
        <v>0</v>
      </c>
      <c r="K32" s="10" t="inlineStr"/>
    </row>
    <row r="33" ht="30" customHeight="1">
      <c r="A33" s="9" t="n">
        <v>32</v>
      </c>
      <c r="B33" s="10" t="inlineStr">
        <is>
          <t>Phase 1 – Sprint 1: Nền tảng dữ liệu</t>
        </is>
      </c>
      <c r="C33" s="10" t="inlineStr">
        <is>
          <t>Bật phân quyền theo dòng dữ liệu (RLS): mỗi khách hàng chỉ thấy đúng dữ liệu của mình; Agency Admin thấy toàn bộ</t>
        </is>
      </c>
      <c r="D33" s="11" t="inlineStr"/>
      <c r="E33" s="12" t="n"/>
      <c r="F33" s="13">
        <f>IF(E33="","",E33+ROUNDUP(G33,0)-1)</f>
        <v/>
      </c>
      <c r="G33" s="14" t="n">
        <v>1.5</v>
      </c>
      <c r="H33" s="10" t="inlineStr">
        <is>
          <t>Dữ liệu</t>
        </is>
      </c>
      <c r="I33" s="9" t="inlineStr">
        <is>
          <t>Chưa bắt đầu</t>
        </is>
      </c>
      <c r="J33" s="15" t="n">
        <v>0</v>
      </c>
      <c r="K33" s="10" t="inlineStr">
        <is>
          <t>Cách ly dữ liệu từng khách hàng</t>
        </is>
      </c>
    </row>
    <row r="34" ht="30" customHeight="1">
      <c r="A34" s="9" t="n">
        <v>33</v>
      </c>
      <c r="B34" s="10" t="inlineStr">
        <is>
          <t>Phase 1 – Sprint 1: Nền tảng dữ liệu</t>
        </is>
      </c>
      <c r="C34" s="10" t="inlineStr">
        <is>
          <t>Kiểm thử: nhập dữ liệu sai trạng thái/sai định dạng phải bị hệ thống từ chối ngay</t>
        </is>
      </c>
      <c r="D34" s="11" t="inlineStr"/>
      <c r="E34" s="12" t="n"/>
      <c r="F34" s="13">
        <f>IF(E34="","",E34+ROUNDUP(G34,0)-1)</f>
        <v/>
      </c>
      <c r="G34" s="14" t="n">
        <v>1</v>
      </c>
      <c r="H34" s="10" t="inlineStr">
        <is>
          <t>Kiểm thử</t>
        </is>
      </c>
      <c r="I34" s="9" t="inlineStr">
        <is>
          <t>Chưa bắt đầu</t>
        </is>
      </c>
      <c r="J34" s="15" t="n">
        <v>0</v>
      </c>
      <c r="K34" s="10" t="inlineStr"/>
    </row>
    <row r="35" ht="30" customHeight="1">
      <c r="A35" s="9" t="n">
        <v>34</v>
      </c>
      <c r="B35" s="10" t="inlineStr">
        <is>
          <t>Phase 1 – Sprint 1: Nền tảng dữ liệu</t>
        </is>
      </c>
      <c r="C35" s="10" t="inlineStr">
        <is>
          <t>Setup Supabase Storage: cấu trúc thư mục lưu ảnh riêng theo từng khách hàng</t>
        </is>
      </c>
      <c r="D35" s="11" t="inlineStr"/>
      <c r="E35" s="12" t="n"/>
      <c r="F35" s="13">
        <f>IF(E35="","",E35+ROUNDUP(G35,0)-1)</f>
        <v/>
      </c>
      <c r="G35" s="14" t="n">
        <v>0.5</v>
      </c>
      <c r="H35" s="10" t="inlineStr">
        <is>
          <t>Hạ tầng</t>
        </is>
      </c>
      <c r="I35" s="9" t="inlineStr">
        <is>
          <t>Chưa bắt đầu</t>
        </is>
      </c>
      <c r="J35" s="15" t="n">
        <v>0</v>
      </c>
      <c r="K35" s="10" t="inlineStr"/>
    </row>
    <row r="36" ht="30" customHeight="1">
      <c r="A36" s="9" t="n">
        <v>35</v>
      </c>
      <c r="B36" s="10" t="inlineStr">
        <is>
          <t>Phase 1 – Sprint 1: Nền tảng dữ liệu</t>
        </is>
      </c>
      <c r="C36" s="10" t="inlineStr">
        <is>
          <t>Viết hàm/API duy nhất để ghi &amp; lấy 5 bản ghi trí nhớ gần nhất của 1 agent cho 1 khách hàng</t>
        </is>
      </c>
      <c r="D36" s="11" t="inlineStr"/>
      <c r="E36" s="12" t="n"/>
      <c r="F36" s="13">
        <f>IF(E36="","",E36+ROUNDUP(G36,0)-1)</f>
        <v/>
      </c>
      <c r="G36" s="14" t="n">
        <v>1.5</v>
      </c>
      <c r="H36" s="10" t="inlineStr">
        <is>
          <t>Dữ liệu</t>
        </is>
      </c>
      <c r="I36" s="9" t="inlineStr">
        <is>
          <t>Chưa bắt đầu</t>
        </is>
      </c>
      <c r="J36" s="15" t="n">
        <v>0</v>
      </c>
      <c r="K36" s="10" t="inlineStr">
        <is>
          <t>Thay thế Hindsight Recall/Retain</t>
        </is>
      </c>
    </row>
    <row r="37" ht="30" customHeight="1">
      <c r="A37" s="9" t="n">
        <v>36</v>
      </c>
      <c r="B37" s="10" t="inlineStr">
        <is>
          <t>Phase 1 – Sprint 1: Nền tảng dữ liệu</t>
        </is>
      </c>
      <c r="C37" s="10" t="inlineStr">
        <is>
          <t>Cấu hình sao lưu (backup) tự động hàng ngày cho database</t>
        </is>
      </c>
      <c r="D37" s="11" t="inlineStr"/>
      <c r="E37" s="12" t="n"/>
      <c r="F37" s="13">
        <f>IF(E37="","",E37+ROUNDUP(G37,0)-1)</f>
        <v/>
      </c>
      <c r="G37" s="14" t="n">
        <v>0.5</v>
      </c>
      <c r="H37" s="10" t="inlineStr">
        <is>
          <t>Hạ tầng</t>
        </is>
      </c>
      <c r="I37" s="9" t="inlineStr">
        <is>
          <t>Chưa bắt đầu</t>
        </is>
      </c>
      <c r="J37" s="15" t="n">
        <v>0</v>
      </c>
      <c r="K37" s="10" t="inlineStr">
        <is>
          <t>Mục tiêu RPO &lt; 24h</t>
        </is>
      </c>
    </row>
    <row r="38" ht="30" customHeight="1">
      <c r="A38" s="2" t="n">
        <v>37</v>
      </c>
      <c r="B38" s="3" t="inlineStr">
        <is>
          <t>Phase 1 – Sprint 2: 5 Agent &amp; Quy trình duyệt</t>
        </is>
      </c>
      <c r="C38" s="3" t="inlineStr">
        <is>
          <t>Định nghĩa đầy đủ 13 trạng thái vòng đời 1 bài đăng và các đường chuyển hợp lệ giữa các trạng thái</t>
        </is>
      </c>
      <c r="D38" s="4" t="inlineStr"/>
      <c r="E38" s="5" t="n"/>
      <c r="F38" s="6">
        <f>IF(E38="","",E38+ROUNDUP(G38,0)-1)</f>
        <v/>
      </c>
      <c r="G38" s="7" t="n">
        <v>1</v>
      </c>
      <c r="H38" s="3" t="inlineStr">
        <is>
          <t>Dữ liệu</t>
        </is>
      </c>
      <c r="I38" s="2" t="inlineStr">
        <is>
          <t>Chưa bắt đầu</t>
        </is>
      </c>
      <c r="J38" s="8" t="n">
        <v>0</v>
      </c>
      <c r="K38" s="3" t="inlineStr">
        <is>
          <t>MVP-Scope mục 3 - FSM</t>
        </is>
      </c>
    </row>
    <row r="39" ht="30" customHeight="1">
      <c r="A39" s="9" t="n">
        <v>38</v>
      </c>
      <c r="B39" s="10" t="inlineStr">
        <is>
          <t>Phase 1 – Sprint 2: 5 Agent &amp; Quy trình duyệt</t>
        </is>
      </c>
      <c r="C39" s="10" t="inlineStr">
        <is>
          <t>Xây dựng cơ chế chuyển trạng thái có kiểm tra hợp lệ — không cho nhảy cóc sai luồng</t>
        </is>
      </c>
      <c r="D39" s="11" t="inlineStr"/>
      <c r="E39" s="12" t="n"/>
      <c r="F39" s="13">
        <f>IF(E39="","",E39+ROUNDUP(G39,0)-1)</f>
        <v/>
      </c>
      <c r="G39" s="14" t="n">
        <v>2</v>
      </c>
      <c r="H39" s="10" t="inlineStr">
        <is>
          <t>Logic Agent (AI)</t>
        </is>
      </c>
      <c r="I39" s="9" t="inlineStr">
        <is>
          <t>Chưa bắt đầu</t>
        </is>
      </c>
      <c r="J39" s="15" t="n">
        <v>0</v>
      </c>
      <c r="K39" s="10" t="inlineStr"/>
    </row>
    <row r="40" ht="30" customHeight="1">
      <c r="A40" s="9" t="n">
        <v>39</v>
      </c>
      <c r="B40" s="10" t="inlineStr">
        <is>
          <t>Phase 1 – Sprint 2: 5 Agent &amp; Quy trình duyệt</t>
        </is>
      </c>
      <c r="C40" s="10" t="inlineStr">
        <is>
          <t>Mọi lần chuyển trạng thái đều tự động ghi log (ai / khi nào / từ đâu sang đâu)</t>
        </is>
      </c>
      <c r="D40" s="11" t="inlineStr"/>
      <c r="E40" s="12" t="n"/>
      <c r="F40" s="13">
        <f>IF(E40="","",E40+ROUNDUP(G40,0)-1)</f>
        <v/>
      </c>
      <c r="G40" s="14" t="n">
        <v>1</v>
      </c>
      <c r="H40" s="10" t="inlineStr">
        <is>
          <t>Logic Agent (AI)</t>
        </is>
      </c>
      <c r="I40" s="9" t="inlineStr">
        <is>
          <t>Chưa bắt đầu</t>
        </is>
      </c>
      <c r="J40" s="15" t="n">
        <v>0</v>
      </c>
      <c r="K40" s="10" t="inlineStr"/>
    </row>
    <row r="41" ht="30" customHeight="1">
      <c r="A41" s="9" t="n">
        <v>40</v>
      </c>
      <c r="B41" s="10" t="inlineStr">
        <is>
          <t>Phase 1 – Sprint 2: 5 Agent &amp; Quy trình duyệt</t>
        </is>
      </c>
      <c r="C41" s="10" t="inlineStr">
        <is>
          <t>Xây dựng "Cycle Runner" tối giản: tự động bắt đầu 1 chu kỳ nội dung mỗi tuần (thứ 2), gọi lần lượt B02 → B03 → D01 → D02 → E01 đúng thứ tự</t>
        </is>
      </c>
      <c r="D41" s="11" t="inlineStr"/>
      <c r="E41" s="12" t="n"/>
      <c r="F41" s="13">
        <f>IF(E41="","",E41+ROUNDUP(G41,0)-1)</f>
        <v/>
      </c>
      <c r="G41" s="14" t="n">
        <v>3</v>
      </c>
      <c r="H41" s="10" t="inlineStr">
        <is>
          <t>Logic Agent (AI)</t>
        </is>
      </c>
      <c r="I41" s="9" t="inlineStr">
        <is>
          <t>Chưa bắt đầu</t>
        </is>
      </c>
      <c r="J41" s="15" t="n">
        <v>0</v>
      </c>
      <c r="K41" s="10" t="inlineStr">
        <is>
          <t>Thay Orchestrator A01 đầy đủ</t>
        </is>
      </c>
    </row>
    <row r="42" ht="30" customHeight="1">
      <c r="A42" s="9" t="n">
        <v>41</v>
      </c>
      <c r="B42" s="10" t="inlineStr">
        <is>
          <t>Phase 1 – Sprint 2: 5 Agent &amp; Quy trình duyệt</t>
        </is>
      </c>
      <c r="C42" s="10" t="inlineStr">
        <is>
          <t>Cycle Runner: chặn không chạy nếu khách hàng đang tạm dừng hoặc đã dùng hết ngân sách AI tháng đó</t>
        </is>
      </c>
      <c r="D42" s="11" t="inlineStr"/>
      <c r="E42" s="12" t="n"/>
      <c r="F42" s="13">
        <f>IF(E42="","",E42+ROUNDUP(G42,0)-1)</f>
        <v/>
      </c>
      <c r="G42" s="14" t="n">
        <v>1</v>
      </c>
      <c r="H42" s="10" t="inlineStr">
        <is>
          <t>Logic Agent (AI)</t>
        </is>
      </c>
      <c r="I42" s="9" t="inlineStr">
        <is>
          <t>Chưa bắt đầu</t>
        </is>
      </c>
      <c r="J42" s="15" t="n">
        <v>0</v>
      </c>
      <c r="K42" s="10" t="inlineStr"/>
    </row>
    <row r="43" ht="30" customHeight="1">
      <c r="A43" s="9" t="n">
        <v>42</v>
      </c>
      <c r="B43" s="10" t="inlineStr">
        <is>
          <t>Phase 1 – Sprint 2: 5 Agent &amp; Quy trình duyệt</t>
        </is>
      </c>
      <c r="C43" s="10" t="inlineStr">
        <is>
          <t>Job tự động kiểm tra "yêu cầu xin ảnh" quá hạn (chạy mỗi vài giờ) — quá hạn thì chuyển bài sang "chờ xử lý ảnh" và báo Agency Admin, KHÔNG tự ý dùng ảnh AI thay thế</t>
        </is>
      </c>
      <c r="D43" s="11" t="inlineStr"/>
      <c r="E43" s="12" t="n"/>
      <c r="F43" s="13">
        <f>IF(E43="","",E43+ROUNDUP(G43,0)-1)</f>
        <v/>
      </c>
      <c r="G43" s="14" t="n">
        <v>1.5</v>
      </c>
      <c r="H43" s="10" t="inlineStr">
        <is>
          <t>Logic Agent (AI)</t>
        </is>
      </c>
      <c r="I43" s="9" t="inlineStr">
        <is>
          <t>Chưa bắt đầu</t>
        </is>
      </c>
      <c r="J43" s="15" t="n">
        <v>0</v>
      </c>
      <c r="K43" s="10" t="inlineStr">
        <is>
          <t>check_asset_request_expiry</t>
        </is>
      </c>
    </row>
    <row r="44" ht="30" customHeight="1">
      <c r="A44" s="9" t="n">
        <v>43</v>
      </c>
      <c r="B44" s="10" t="inlineStr">
        <is>
          <t>Phase 1 – Sprint 2: 5 Agent &amp; Quy trình duyệt</t>
        </is>
      </c>
      <c r="C44" s="10" t="inlineStr">
        <is>
          <t>[B02] Xây agent tự nghiên cứu &amp; đề xuất "trụ nội dung" hàng tuần dựa trên thương hiệu, lịch sử pillar, hiệu quả tuần trước</t>
        </is>
      </c>
      <c r="D44" s="11" t="inlineStr"/>
      <c r="E44" s="12" t="n"/>
      <c r="F44" s="13">
        <f>IF(E44="","",E44+ROUNDUP(G44,0)-1)</f>
        <v/>
      </c>
      <c r="G44" s="14" t="n">
        <v>3</v>
      </c>
      <c r="H44" s="10" t="inlineStr">
        <is>
          <t>Logic Agent (AI)</t>
        </is>
      </c>
      <c r="I44" s="9" t="inlineStr">
        <is>
          <t>Chưa bắt đầu</t>
        </is>
      </c>
      <c r="J44" s="15" t="n">
        <v>0</v>
      </c>
      <c r="K44" s="10" t="inlineStr"/>
    </row>
    <row r="45" ht="30" customHeight="1">
      <c r="A45" s="9" t="n">
        <v>44</v>
      </c>
      <c r="B45" s="10" t="inlineStr">
        <is>
          <t>Phase 1 – Sprint 2: 5 Agent &amp; Quy trình duyệt</t>
        </is>
      </c>
      <c r="C45" s="10" t="inlineStr">
        <is>
          <t>[B02] Xử lý trường hợp khách hàng mới chưa có dữ liệu lịch sử (cold start) — vẫn tạo được pillar hợp lý</t>
        </is>
      </c>
      <c r="D45" s="11" t="inlineStr"/>
      <c r="E45" s="12" t="n"/>
      <c r="F45" s="13">
        <f>IF(E45="","",E45+ROUNDUP(G45,0)-1)</f>
        <v/>
      </c>
      <c r="G45" s="14" t="n">
        <v>1</v>
      </c>
      <c r="H45" s="10" t="inlineStr">
        <is>
          <t>Logic Agent (AI)</t>
        </is>
      </c>
      <c r="I45" s="9" t="inlineStr">
        <is>
          <t>Chưa bắt đầu</t>
        </is>
      </c>
      <c r="J45" s="15" t="n">
        <v>0</v>
      </c>
      <c r="K45" s="10" t="inlineStr"/>
    </row>
    <row r="46" ht="30" customHeight="1">
      <c r="A46" s="9" t="n">
        <v>45</v>
      </c>
      <c r="B46" s="10" t="inlineStr">
        <is>
          <t>Phase 1 – Sprint 2: 5 Agent &amp; Quy trình duyệt</t>
        </is>
      </c>
      <c r="C46" s="10" t="inlineStr">
        <is>
          <t>[B02] Agent luôn kèm giải thích "vì sao chọn pillar này", không copy nguyên tuần trước mà không có lý do</t>
        </is>
      </c>
      <c r="D46" s="11" t="inlineStr"/>
      <c r="E46" s="12" t="n"/>
      <c r="F46" s="13">
        <f>IF(E46="","",E46+ROUNDUP(G46,0)-1)</f>
        <v/>
      </c>
      <c r="G46" s="14" t="n">
        <v>1</v>
      </c>
      <c r="H46" s="10" t="inlineStr">
        <is>
          <t>Logic Agent (AI)</t>
        </is>
      </c>
      <c r="I46" s="9" t="inlineStr">
        <is>
          <t>Chưa bắt đầu</t>
        </is>
      </c>
      <c r="J46" s="15" t="n">
        <v>0</v>
      </c>
      <c r="K46" s="10" t="inlineStr"/>
    </row>
    <row r="47" ht="30" customHeight="1">
      <c r="A47" s="9" t="n">
        <v>46</v>
      </c>
      <c r="B47" s="10" t="inlineStr">
        <is>
          <t>Phase 1 – Sprint 2: 5 Agent &amp; Quy trình duyệt</t>
        </is>
      </c>
      <c r="C47" s="10" t="inlineStr">
        <is>
          <t>[B02] Ghi kết quả pillar vào hệ thống, chuyển bài viết sang trạng thái chờ Agency Admin duyệt (Gate S2)</t>
        </is>
      </c>
      <c r="D47" s="11" t="inlineStr"/>
      <c r="E47" s="12" t="n"/>
      <c r="F47" s="13">
        <f>IF(E47="","",E47+ROUNDUP(G47,0)-1)</f>
        <v/>
      </c>
      <c r="G47" s="14" t="n">
        <v>0.5</v>
      </c>
      <c r="H47" s="10" t="inlineStr">
        <is>
          <t>Logic Agent (AI)</t>
        </is>
      </c>
      <c r="I47" s="9" t="inlineStr">
        <is>
          <t>Chưa bắt đầu</t>
        </is>
      </c>
      <c r="J47" s="15" t="n">
        <v>0</v>
      </c>
      <c r="K47" s="10" t="inlineStr"/>
    </row>
    <row r="48" ht="30" customHeight="1">
      <c r="A48" s="9" t="n">
        <v>47</v>
      </c>
      <c r="B48" s="10" t="inlineStr">
        <is>
          <t>Phase 1 – Sprint 2: 5 Agent &amp; Quy trình duyệt</t>
        </is>
      </c>
      <c r="C48" s="10" t="inlineStr">
        <is>
          <t>Xây màn hình Cổng duyệt S2 — Duyệt Trụ Nội Dung: xem, sửa trực tiếp (thêm/bớt/đổi tỷ trọng), duyệt hoặc từ chối</t>
        </is>
      </c>
      <c r="D48" s="11" t="inlineStr"/>
      <c r="E48" s="12" t="n"/>
      <c r="F48" s="13">
        <f>IF(E48="","",E48+ROUNDUP(G48,0)-1)</f>
        <v/>
      </c>
      <c r="G48" s="14" t="n">
        <v>2</v>
      </c>
      <c r="H48" s="10" t="inlineStr">
        <is>
          <t>Quy trình duyệt</t>
        </is>
      </c>
      <c r="I48" s="9" t="inlineStr">
        <is>
          <t>Chưa bắt đầu</t>
        </is>
      </c>
      <c r="J48" s="15" t="n">
        <v>0</v>
      </c>
      <c r="K48" s="10" t="inlineStr"/>
    </row>
    <row r="49" ht="30" customHeight="1">
      <c r="A49" s="9" t="n">
        <v>48</v>
      </c>
      <c r="B49" s="10" t="inlineStr">
        <is>
          <t>Phase 1 – Sprint 2: 5 Agent &amp; Quy trình duyệt</t>
        </is>
      </c>
      <c r="C49" s="10" t="inlineStr">
        <is>
          <t>[B03] Xây agent lập lịch đăng bài cụ thể theo ngày/platform trong tuần, dựa trên pillar đã duyệt + tần suất + khung giờ ưa thích</t>
        </is>
      </c>
      <c r="D49" s="11" t="inlineStr"/>
      <c r="E49" s="12" t="n"/>
      <c r="F49" s="13">
        <f>IF(E49="","",E49+ROUNDUP(G49,0)-1)</f>
        <v/>
      </c>
      <c r="G49" s="14" t="n">
        <v>3</v>
      </c>
      <c r="H49" s="10" t="inlineStr">
        <is>
          <t>Logic Agent (AI)</t>
        </is>
      </c>
      <c r="I49" s="9" t="inlineStr">
        <is>
          <t>Chưa bắt đầu</t>
        </is>
      </c>
      <c r="J49" s="15" t="n">
        <v>0</v>
      </c>
      <c r="K49" s="10" t="inlineStr"/>
    </row>
    <row r="50" ht="30" customHeight="1">
      <c r="A50" s="9" t="n">
        <v>49</v>
      </c>
      <c r="B50" s="10" t="inlineStr">
        <is>
          <t>Phase 1 – Sprint 2: 5 Agent &amp; Quy trình duyệt</t>
        </is>
      </c>
      <c r="C50" s="10" t="inlineStr">
        <is>
          <t>[B03] Đảm bảo không đăng 2 bài cùng platform cùng khung giờ; tỷ trọng pillar khớp đã duyệt (sai lệch tối đa 10%)</t>
        </is>
      </c>
      <c r="D50" s="11" t="inlineStr"/>
      <c r="E50" s="12" t="n"/>
      <c r="F50" s="13">
        <f>IF(E50="","",E50+ROUNDUP(G50,0)-1)</f>
        <v/>
      </c>
      <c r="G50" s="14" t="n">
        <v>1</v>
      </c>
      <c r="H50" s="10" t="inlineStr">
        <is>
          <t>Logic Agent (AI)</t>
        </is>
      </c>
      <c r="I50" s="9" t="inlineStr">
        <is>
          <t>Chưa bắt đầu</t>
        </is>
      </c>
      <c r="J50" s="15" t="n">
        <v>0</v>
      </c>
      <c r="K50" s="10" t="inlineStr"/>
    </row>
    <row r="51" ht="30" customHeight="1">
      <c r="A51" s="9" t="n">
        <v>50</v>
      </c>
      <c r="B51" s="10" t="inlineStr">
        <is>
          <t>Phase 1 – Sprint 2: 5 Agent &amp; Quy trình duyệt</t>
        </is>
      </c>
      <c r="C51" s="10" t="inlineStr">
        <is>
          <t>Xây màn hình Cổng duyệt S3 — Duyệt Kế Hoạch Nội Dung: xem lịch đăng dạng bảng, thêm/bớt bài, đổi ngày, đổi góc nhìn</t>
        </is>
      </c>
      <c r="D51" s="11" t="inlineStr"/>
      <c r="E51" s="12" t="n"/>
      <c r="F51" s="13">
        <f>IF(E51="","",E51+ROUNDUP(G51,0)-1)</f>
        <v/>
      </c>
      <c r="G51" s="14" t="n">
        <v>2</v>
      </c>
      <c r="H51" s="10" t="inlineStr">
        <is>
          <t>Quy trình duyệt</t>
        </is>
      </c>
      <c r="I51" s="9" t="inlineStr">
        <is>
          <t>Chưa bắt đầu</t>
        </is>
      </c>
      <c r="J51" s="15" t="n">
        <v>0</v>
      </c>
      <c r="K51" s="10" t="inlineStr"/>
    </row>
    <row r="52" ht="30" customHeight="1">
      <c r="A52" s="9" t="n">
        <v>51</v>
      </c>
      <c r="B52" s="10" t="inlineStr">
        <is>
          <t>Phase 1 – Sprint 2: 5 Agent &amp; Quy trình duyệt</t>
        </is>
      </c>
      <c r="C52" s="10" t="inlineStr">
        <is>
          <t>[D01] Xây agent viết caption riêng cho từng platform (FB/IG khác độ dài, cách trình bày), kèm hashtag, kèm lời kêu gọi hành động</t>
        </is>
      </c>
      <c r="D52" s="11" t="inlineStr"/>
      <c r="E52" s="12" t="n"/>
      <c r="F52" s="13">
        <f>IF(E52="","",E52+ROUNDUP(G52,0)-1)</f>
        <v/>
      </c>
      <c r="G52" s="14" t="n">
        <v>3</v>
      </c>
      <c r="H52" s="10" t="inlineStr">
        <is>
          <t>Logic Agent (AI)</t>
        </is>
      </c>
      <c r="I52" s="9" t="inlineStr">
        <is>
          <t>Chưa bắt đầu</t>
        </is>
      </c>
      <c r="J52" s="15" t="n">
        <v>0</v>
      </c>
      <c r="K52" s="10" t="inlineStr"/>
    </row>
    <row r="53" ht="30" customHeight="1">
      <c r="A53" s="9" t="n">
        <v>52</v>
      </c>
      <c r="B53" s="10" t="inlineStr">
        <is>
          <t>Phase 1 – Sprint 2: 5 Agent &amp; Quy trình duyệt</t>
        </is>
      </c>
      <c r="C53" s="10" t="inlineStr">
        <is>
          <t>[D01] Agent tự viết kèm "mô tả yêu cầu ảnh" (image brief): ảnh thật hay AI, tag ảnh cần tìm, chữ/overlay, tỷ lệ khung theo platform</t>
        </is>
      </c>
      <c r="D53" s="11" t="inlineStr"/>
      <c r="E53" s="12" t="n"/>
      <c r="F53" s="13">
        <f>IF(E53="","",E53+ROUNDUP(G53,0)-1)</f>
        <v/>
      </c>
      <c r="G53" s="14" t="n">
        <v>2</v>
      </c>
      <c r="H53" s="10" t="inlineStr">
        <is>
          <t>Logic Agent (AI)</t>
        </is>
      </c>
      <c r="I53" s="9" t="inlineStr">
        <is>
          <t>Chưa bắt đầu</t>
        </is>
      </c>
      <c r="J53" s="15" t="n">
        <v>0</v>
      </c>
      <c r="K53" s="10" t="inlineStr">
        <is>
          <t>Bắt buộc có - D02 phụ thuộc vào đây</t>
        </is>
      </c>
    </row>
    <row r="54" ht="30" customHeight="1">
      <c r="A54" s="9" t="n">
        <v>53</v>
      </c>
      <c r="B54" s="10" t="inlineStr">
        <is>
          <t>Phase 1 – Sprint 2: 5 Agent &amp; Quy trình duyệt</t>
        </is>
      </c>
      <c r="C54" s="10" t="inlineStr">
        <is>
          <t>[D01] Không dùng từ/cụm từ bị cấm trong cấu hình thương hiệu; không lặp kiểu câu mở đầu quá 3 lần/tháng</t>
        </is>
      </c>
      <c r="D54" s="11" t="inlineStr"/>
      <c r="E54" s="12" t="n"/>
      <c r="F54" s="13">
        <f>IF(E54="","",E54+ROUNDUP(G54,0)-1)</f>
        <v/>
      </c>
      <c r="G54" s="14" t="n">
        <v>1</v>
      </c>
      <c r="H54" s="10" t="inlineStr">
        <is>
          <t>Logic Agent (AI)</t>
        </is>
      </c>
      <c r="I54" s="9" t="inlineStr">
        <is>
          <t>Chưa bắt đầu</t>
        </is>
      </c>
      <c r="J54" s="15" t="n">
        <v>0</v>
      </c>
      <c r="K54" s="10" t="inlineStr"/>
    </row>
    <row r="55" ht="30" customHeight="1">
      <c r="A55" s="9" t="n">
        <v>54</v>
      </c>
      <c r="B55" s="10" t="inlineStr">
        <is>
          <t>Phase 1 – Sprint 2: 5 Agent &amp; Quy trình duyệt</t>
        </is>
      </c>
      <c r="C55" s="10" t="inlineStr">
        <is>
          <t>[D01] Đọc 5 caption gần nhất được duyệt + 5 caption gần nhất bị từ chối (kèm lý do) trước khi viết bài mới</t>
        </is>
      </c>
      <c r="D55" s="11" t="inlineStr"/>
      <c r="E55" s="12" t="n"/>
      <c r="F55" s="13">
        <f>IF(E55="","",E55+ROUNDUP(G55,0)-1)</f>
        <v/>
      </c>
      <c r="G55" s="14" t="n">
        <v>1</v>
      </c>
      <c r="H55" s="10" t="inlineStr">
        <is>
          <t>Logic Agent (AI)</t>
        </is>
      </c>
      <c r="I55" s="9" t="inlineStr">
        <is>
          <t>Chưa bắt đầu</t>
        </is>
      </c>
      <c r="J55" s="15" t="n">
        <v>0</v>
      </c>
      <c r="K55" s="10" t="inlineStr"/>
    </row>
    <row r="56" ht="30" customHeight="1">
      <c r="A56" s="9" t="n">
        <v>55</v>
      </c>
      <c r="B56" s="10" t="inlineStr">
        <is>
          <t>Phase 1 – Sprint 2: 5 Agent &amp; Quy trình duyệt</t>
        </is>
      </c>
      <c r="C56" s="10" t="inlineStr">
        <is>
          <t>[D02] Xây agent tìm/tạo/ghép ảnh cho bài viết, đọc caption + image brief từ D01</t>
        </is>
      </c>
      <c r="D56" s="11" t="inlineStr"/>
      <c r="E56" s="12" t="n"/>
      <c r="F56" s="13">
        <f>IF(E56="","",E56+ROUNDUP(G56,0)-1)</f>
        <v/>
      </c>
      <c r="G56" s="14" t="n">
        <v>3</v>
      </c>
      <c r="H56" s="10" t="inlineStr">
        <is>
          <t>Logic Agent (AI)</t>
        </is>
      </c>
      <c r="I56" s="9" t="inlineStr">
        <is>
          <t>Chưa bắt đầu</t>
        </is>
      </c>
      <c r="J56" s="15" t="n">
        <v>0</v>
      </c>
      <c r="K56" s="10" t="inlineStr"/>
    </row>
    <row r="57" ht="30" customHeight="1">
      <c r="A57" s="9" t="n">
        <v>56</v>
      </c>
      <c r="B57" s="10" t="inlineStr">
        <is>
          <t>Phase 1 – Sprint 2: 5 Agent &amp; Quy trình duyệt</t>
        </is>
      </c>
      <c r="C57" s="10" t="inlineStr">
        <is>
          <t>[D02] Business rule cốt lõi: nội dung cần ảnh thật (sản phẩm, không gian, con người) → bắt buộc dùng ảnh thật từ thư viện, KHÔNG tự ý tạo ảnh AI thay thế</t>
        </is>
      </c>
      <c r="D57" s="11" t="inlineStr"/>
      <c r="E57" s="12" t="n"/>
      <c r="F57" s="13">
        <f>IF(E57="","",E57+ROUNDUP(G57,0)-1)</f>
        <v/>
      </c>
      <c r="G57" s="14" t="n">
        <v>1.5</v>
      </c>
      <c r="H57" s="10" t="inlineStr">
        <is>
          <t>Logic Agent (AI)</t>
        </is>
      </c>
      <c r="I57" s="9" t="inlineStr">
        <is>
          <t>Chưa bắt đầu</t>
        </is>
      </c>
      <c r="J57" s="15" t="n">
        <v>0</v>
      </c>
      <c r="K57" s="10" t="inlineStr">
        <is>
          <t>Rule quan trọng nhất của D02</t>
        </is>
      </c>
    </row>
    <row r="58" ht="30" customHeight="1">
      <c r="A58" s="9" t="n">
        <v>57</v>
      </c>
      <c r="B58" s="10" t="inlineStr">
        <is>
          <t>Phase 1 – Sprint 2: 5 Agent &amp; Quy trình duyệt</t>
        </is>
      </c>
      <c r="C58" s="10" t="inlineStr">
        <is>
          <t>[D02] Không tìm được ảnh thật phù hợp → tự động tạo "yêu cầu xin ảnh" gửi chủ quán, chuyển bài sang "chờ ảnh" — KHÔNG tính là lỗi</t>
        </is>
      </c>
      <c r="D58" s="11" t="inlineStr"/>
      <c r="E58" s="12" t="n"/>
      <c r="F58" s="13">
        <f>IF(E58="","",E58+ROUNDUP(G58,0)-1)</f>
        <v/>
      </c>
      <c r="G58" s="14" t="n">
        <v>1.5</v>
      </c>
      <c r="H58" s="10" t="inlineStr">
        <is>
          <t>Logic Agent (AI)</t>
        </is>
      </c>
      <c r="I58" s="9" t="inlineStr">
        <is>
          <t>Chưa bắt đầu</t>
        </is>
      </c>
      <c r="J58" s="15" t="n">
        <v>0</v>
      </c>
      <c r="K58" s="10" t="inlineStr"/>
    </row>
    <row r="59" ht="30" customHeight="1">
      <c r="A59" s="9" t="n">
        <v>58</v>
      </c>
      <c r="B59" s="10" t="inlineStr">
        <is>
          <t>Phase 1 – Sprint 2: 5 Agent &amp; Quy trình duyệt</t>
        </is>
      </c>
      <c r="C59" s="10" t="inlineStr">
        <is>
          <t>[D02] Loại nội dung cho phép (poster/meme/banner không có sản phẩm) → được dùng AI tạo ảnh hoàn toàn</t>
        </is>
      </c>
      <c r="D59" s="11" t="inlineStr"/>
      <c r="E59" s="12" t="n"/>
      <c r="F59" s="13">
        <f>IF(E59="","",E59+ROUNDUP(G59,0)-1)</f>
        <v/>
      </c>
      <c r="G59" s="14" t="n">
        <v>1.5</v>
      </c>
      <c r="H59" s="10" t="inlineStr">
        <is>
          <t>Logic Agent (AI)</t>
        </is>
      </c>
      <c r="I59" s="9" t="inlineStr">
        <is>
          <t>Chưa bắt đầu</t>
        </is>
      </c>
      <c r="J59" s="15" t="n">
        <v>0</v>
      </c>
      <c r="K59" s="10" t="inlineStr"/>
    </row>
    <row r="60" ht="30" customHeight="1">
      <c r="A60" s="9" t="n">
        <v>59</v>
      </c>
      <c r="B60" s="10" t="inlineStr">
        <is>
          <t>Phase 1 – Sprint 2: 5 Agent &amp; Quy trình duyệt</t>
        </is>
      </c>
      <c r="C60" s="10" t="inlineStr">
        <is>
          <t>[D02] Luôn xuất đúng tỷ lệ khung ảnh theo từng platform mà D01 đã chỉ định</t>
        </is>
      </c>
      <c r="D60" s="11" t="inlineStr"/>
      <c r="E60" s="12" t="n"/>
      <c r="F60" s="13">
        <f>IF(E60="","",E60+ROUNDUP(G60,0)-1)</f>
        <v/>
      </c>
      <c r="G60" s="14" t="n">
        <v>1</v>
      </c>
      <c r="H60" s="10" t="inlineStr">
        <is>
          <t>Logic Agent (AI)</t>
        </is>
      </c>
      <c r="I60" s="9" t="inlineStr">
        <is>
          <t>Chưa bắt đầu</t>
        </is>
      </c>
      <c r="J60" s="15" t="n">
        <v>0</v>
      </c>
      <c r="K60" s="10" t="inlineStr"/>
    </row>
    <row r="61" ht="30" customHeight="1">
      <c r="A61" s="9" t="n">
        <v>60</v>
      </c>
      <c r="B61" s="10" t="inlineStr">
        <is>
          <t>Phase 1 – Sprint 2: 5 Agent &amp; Quy trình duyệt</t>
        </is>
      </c>
      <c r="C61" s="10" t="inlineStr">
        <is>
          <t>[E01] Xây agent tự động chấm điểm caption (thang 10) và ảnh (thang 5) trước khi đưa cho con người duyệt</t>
        </is>
      </c>
      <c r="D61" s="11" t="inlineStr"/>
      <c r="E61" s="12" t="n"/>
      <c r="F61" s="13">
        <f>IF(E61="","",E61+ROUNDUP(G61,0)-1)</f>
        <v/>
      </c>
      <c r="G61" s="14" t="n">
        <v>2.5</v>
      </c>
      <c r="H61" s="10" t="inlineStr">
        <is>
          <t>Logic Agent (AI)</t>
        </is>
      </c>
      <c r="I61" s="9" t="inlineStr">
        <is>
          <t>Chưa bắt đầu</t>
        </is>
      </c>
      <c r="J61" s="15" t="n">
        <v>0</v>
      </c>
      <c r="K61" s="10" t="inlineStr"/>
    </row>
    <row r="62" ht="30" customHeight="1">
      <c r="A62" s="9" t="n">
        <v>61</v>
      </c>
      <c r="B62" s="10" t="inlineStr">
        <is>
          <t>Phase 1 – Sprint 2: 5 Agent &amp; Quy trình duyệt</t>
        </is>
      </c>
      <c r="C62" s="10" t="inlineStr">
        <is>
          <t>[E01] Tiêu chí chấm caption: đúng tông giọng, thông tin chính xác, đúng định dạng platform, đúng chủ đề/góc nhìn, không lặp nội dung cũ</t>
        </is>
      </c>
      <c r="D62" s="11" t="inlineStr"/>
      <c r="E62" s="12" t="n"/>
      <c r="F62" s="13">
        <f>IF(E62="","",E62+ROUNDUP(G62,0)-1)</f>
        <v/>
      </c>
      <c r="G62" s="14" t="n">
        <v>1</v>
      </c>
      <c r="H62" s="10" t="inlineStr">
        <is>
          <t>Logic Agent (AI)</t>
        </is>
      </c>
      <c r="I62" s="9" t="inlineStr">
        <is>
          <t>Chưa bắt đầu</t>
        </is>
      </c>
      <c r="J62" s="15" t="n">
        <v>0</v>
      </c>
      <c r="K62" s="10" t="inlineStr"/>
    </row>
    <row r="63" ht="30" customHeight="1">
      <c r="A63" s="9" t="n">
        <v>62</v>
      </c>
      <c r="B63" s="10" t="inlineStr">
        <is>
          <t>Phase 1 – Sprint 2: 5 Agent &amp; Quy trình duyệt</t>
        </is>
      </c>
      <c r="C63" s="10" t="inlineStr">
        <is>
          <t>[E01] Tiêu chí chấm ảnh: đúng sản phẩm/bối cảnh yêu cầu, bố cục/màu/mood hợp thương hiệu, chữ đọc được trên điện thoại</t>
        </is>
      </c>
      <c r="D63" s="11" t="inlineStr"/>
      <c r="E63" s="12" t="n"/>
      <c r="F63" s="13">
        <f>IF(E63="","",E63+ROUNDUP(G63,0)-1)</f>
        <v/>
      </c>
      <c r="G63" s="14" t="n">
        <v>1</v>
      </c>
      <c r="H63" s="10" t="inlineStr">
        <is>
          <t>Logic Agent (AI)</t>
        </is>
      </c>
      <c r="I63" s="9" t="inlineStr">
        <is>
          <t>Chưa bắt đầu</t>
        </is>
      </c>
      <c r="J63" s="15" t="n">
        <v>0</v>
      </c>
      <c r="K63" s="10" t="inlineStr"/>
    </row>
    <row r="64" ht="30" customHeight="1">
      <c r="A64" s="9" t="n">
        <v>63</v>
      </c>
      <c r="B64" s="10" t="inlineStr">
        <is>
          <t>Phase 1 – Sprint 2: 5 Agent &amp; Quy trình duyệt</t>
        </is>
      </c>
      <c r="C64" s="10" t="inlineStr">
        <is>
          <t>[E01] Áp dụng ngưỡng đạt/không đạt đã chốt (Caption ≥7.0 VÀ Visual ≥3.5 → đạt)</t>
        </is>
      </c>
      <c r="D64" s="11" t="inlineStr"/>
      <c r="E64" s="12" t="n"/>
      <c r="F64" s="13">
        <f>IF(E64="","",E64+ROUNDUP(G64,0)-1)</f>
        <v/>
      </c>
      <c r="G64" s="14" t="n">
        <v>0.5</v>
      </c>
      <c r="H64" s="10" t="inlineStr">
        <is>
          <t>Logic Agent (AI)</t>
        </is>
      </c>
      <c r="I64" s="9" t="inlineStr">
        <is>
          <t>Chưa bắt đầu</t>
        </is>
      </c>
      <c r="J64" s="15" t="n">
        <v>0</v>
      </c>
      <c r="K64" s="10" t="inlineStr">
        <is>
          <t>Cần đã chốt ở Phase 0</t>
        </is>
      </c>
    </row>
    <row r="65" ht="30" customHeight="1">
      <c r="A65" s="9" t="n">
        <v>64</v>
      </c>
      <c r="B65" s="10" t="inlineStr">
        <is>
          <t>Phase 1 – Sprint 2: 5 Agent &amp; Quy trình duyệt</t>
        </is>
      </c>
      <c r="C65" s="10" t="inlineStr">
        <is>
          <t>[E01] Không đạt nhưng còn dưới 3 lần thử → tự động gửi lại đúng agent bị lỗi (chỉ D01 nếu lỗi caption, chỉ D02 nếu lỗi ảnh) kèm hướng dẫn sửa cụ thể</t>
        </is>
      </c>
      <c r="D65" s="11" t="inlineStr"/>
      <c r="E65" s="12" t="n"/>
      <c r="F65" s="13">
        <f>IF(E65="","",E65+ROUNDUP(G65,0)-1)</f>
        <v/>
      </c>
      <c r="G65" s="14" t="n">
        <v>1.5</v>
      </c>
      <c r="H65" s="10" t="inlineStr">
        <is>
          <t>Logic Agent (AI)</t>
        </is>
      </c>
      <c r="I65" s="9" t="inlineStr">
        <is>
          <t>Chưa bắt đầu</t>
        </is>
      </c>
      <c r="J65" s="15" t="n">
        <v>0</v>
      </c>
      <c r="K65" s="10" t="inlineStr"/>
    </row>
    <row r="66" ht="30" customHeight="1">
      <c r="A66" s="9" t="n">
        <v>65</v>
      </c>
      <c r="B66" s="10" t="inlineStr">
        <is>
          <t>Phase 1 – Sprint 2: 5 Agent &amp; Quy trình duyệt</t>
        </is>
      </c>
      <c r="C66" s="10" t="inlineStr">
        <is>
          <t>[E01] Thử đủ 3 lần vẫn không đạt → dừng lại, báo Agency Admin xử lý tay</t>
        </is>
      </c>
      <c r="D66" s="11" t="inlineStr"/>
      <c r="E66" s="12" t="n"/>
      <c r="F66" s="13">
        <f>IF(E66="","",E66+ROUNDUP(G66,0)-1)</f>
        <v/>
      </c>
      <c r="G66" s="14" t="n">
        <v>0.5</v>
      </c>
      <c r="H66" s="10" t="inlineStr">
        <is>
          <t>Logic Agent (AI)</t>
        </is>
      </c>
      <c r="I66" s="9" t="inlineStr">
        <is>
          <t>Chưa bắt đầu</t>
        </is>
      </c>
      <c r="J66" s="15" t="n">
        <v>0</v>
      </c>
      <c r="K66" s="10" t="inlineStr"/>
    </row>
    <row r="67" ht="30" customHeight="1">
      <c r="A67" s="9" t="n">
        <v>66</v>
      </c>
      <c r="B67" s="10" t="inlineStr">
        <is>
          <t>Phase 1 – Sprint 2: 5 Agent &amp; Quy trình duyệt</t>
        </is>
      </c>
      <c r="C67" s="10" t="inlineStr">
        <is>
          <t>[E01] TUYỆT ĐỐI không chấm điểm khi bài đang "chờ ảnh" — đây là thiếu tài nguyên, không phải lỗi chất lượng</t>
        </is>
      </c>
      <c r="D67" s="11" t="inlineStr"/>
      <c r="E67" s="12" t="n"/>
      <c r="F67" s="13">
        <f>IF(E67="","",E67+ROUNDUP(G67,0)-1)</f>
        <v/>
      </c>
      <c r="G67" s="14" t="n">
        <v>0.5</v>
      </c>
      <c r="H67" s="10" t="inlineStr">
        <is>
          <t>Logic Agent (AI)</t>
        </is>
      </c>
      <c r="I67" s="9" t="inlineStr">
        <is>
          <t>Chưa bắt đầu</t>
        </is>
      </c>
      <c r="J67" s="15" t="n">
        <v>0</v>
      </c>
      <c r="K67" s="10" t="inlineStr"/>
    </row>
    <row r="68" ht="30" customHeight="1">
      <c r="A68" s="9" t="n">
        <v>67</v>
      </c>
      <c r="B68" s="10" t="inlineStr">
        <is>
          <t>Phase 1 – Sprint 2: 5 Agent &amp; Quy trình duyệt</t>
        </is>
      </c>
      <c r="C68" s="10" t="inlineStr">
        <is>
          <t>[E01] Điểm số KHÔNG hiển thị cho chủ quán khi duyệt bài — chỉ Agency Admin xem được ở màn hình nội bộ</t>
        </is>
      </c>
      <c r="D68" s="11" t="inlineStr"/>
      <c r="E68" s="12" t="n"/>
      <c r="F68" s="13">
        <f>IF(E68="","",E68+ROUNDUP(G68,0)-1)</f>
        <v/>
      </c>
      <c r="G68" s="14" t="n">
        <v>0.5</v>
      </c>
      <c r="H68" s="10" t="inlineStr">
        <is>
          <t>Logic Agent (AI)</t>
        </is>
      </c>
      <c r="I68" s="9" t="inlineStr">
        <is>
          <t>Chưa bắt đầu</t>
        </is>
      </c>
      <c r="J68" s="15" t="n">
        <v>0</v>
      </c>
      <c r="K68" s="10" t="inlineStr"/>
    </row>
    <row r="69" ht="30" customHeight="1">
      <c r="A69" s="9" t="n">
        <v>68</v>
      </c>
      <c r="B69" s="10" t="inlineStr">
        <is>
          <t>Phase 1 – Sprint 2: 5 Agent &amp; Quy trình duyệt</t>
        </is>
      </c>
      <c r="C69" s="10" t="inlineStr">
        <is>
          <t>Sau mỗi lần D01/D02 hoàn thành việc (dù đạt hay không), tự động ghi vào "trí nhớ agent": tóm tắt việc đã làm, điểm số, bài học rút ra</t>
        </is>
      </c>
      <c r="D69" s="11" t="inlineStr"/>
      <c r="E69" s="12" t="n"/>
      <c r="F69" s="13">
        <f>IF(E69="","",E69+ROUNDUP(G69,0)-1)</f>
        <v/>
      </c>
      <c r="G69" s="14" t="n">
        <v>1.5</v>
      </c>
      <c r="H69" s="10" t="inlineStr">
        <is>
          <t>Logic Agent (AI)</t>
        </is>
      </c>
      <c r="I69" s="9" t="inlineStr">
        <is>
          <t>Chưa bắt đầu</t>
        </is>
      </c>
      <c r="J69" s="15" t="n">
        <v>0</v>
      </c>
      <c r="K69" s="10" t="inlineStr"/>
    </row>
    <row r="70" ht="30" customHeight="1">
      <c r="A70" s="9" t="n">
        <v>69</v>
      </c>
      <c r="B70" s="10" t="inlineStr">
        <is>
          <t>Phase 1 – Sprint 2: 5 Agent &amp; Quy trình duyệt</t>
        </is>
      </c>
      <c r="C70" s="10" t="inlineStr">
        <is>
          <t>Khi con người sửa/từ chối bài kèm lý do, tự động cập nhật vào trí nhớ agent tương ứng</t>
        </is>
      </c>
      <c r="D70" s="11" t="inlineStr"/>
      <c r="E70" s="12" t="n"/>
      <c r="F70" s="13">
        <f>IF(E70="","",E70+ROUNDUP(G70,0)-1)</f>
        <v/>
      </c>
      <c r="G70" s="14" t="n">
        <v>1</v>
      </c>
      <c r="H70" s="10" t="inlineStr">
        <is>
          <t>Logic Agent (AI)</t>
        </is>
      </c>
      <c r="I70" s="9" t="inlineStr">
        <is>
          <t>Chưa bắt đầu</t>
        </is>
      </c>
      <c r="J70" s="15" t="n">
        <v>0</v>
      </c>
      <c r="K70" s="10" t="inlineStr"/>
    </row>
    <row r="71" ht="30" customHeight="1">
      <c r="A71" s="9" t="n">
        <v>70</v>
      </c>
      <c r="B71" s="10" t="inlineStr">
        <is>
          <t>Phase 1 – Sprint 2: 5 Agent &amp; Quy trình duyệt</t>
        </is>
      </c>
      <c r="C71" s="10" t="inlineStr">
        <is>
          <t>Trước khi agent bắt đầu việc mới, tự động lấy 5 bản ghi trí nhớ gần nhất liên quan để tham khảo</t>
        </is>
      </c>
      <c r="D71" s="11" t="inlineStr"/>
      <c r="E71" s="12" t="n"/>
      <c r="F71" s="13">
        <f>IF(E71="","",E71+ROUNDUP(G71,0)-1)</f>
        <v/>
      </c>
      <c r="G71" s="14" t="n">
        <v>1</v>
      </c>
      <c r="H71" s="10" t="inlineStr">
        <is>
          <t>Logic Agent (AI)</t>
        </is>
      </c>
      <c r="I71" s="9" t="inlineStr">
        <is>
          <t>Chưa bắt đầu</t>
        </is>
      </c>
      <c r="J71" s="15" t="n">
        <v>0</v>
      </c>
      <c r="K71" s="10" t="inlineStr"/>
    </row>
    <row r="72" ht="30" customHeight="1">
      <c r="A72" s="9" t="n">
        <v>71</v>
      </c>
      <c r="B72" s="10" t="inlineStr">
        <is>
          <t>Phase 1 – Sprint 2: 5 Agent &amp; Quy trình duyệt</t>
        </is>
      </c>
      <c r="C72" s="10" t="inlineStr">
        <is>
          <t>Xây màn hình Duyệt bài (Content Approval Gate): caption cuối + ảnh cuối + giờ đăng dự kiến, xem trước dạng giống thật trên FB/IG</t>
        </is>
      </c>
      <c r="D72" s="11" t="inlineStr"/>
      <c r="E72" s="12" t="n"/>
      <c r="F72" s="13">
        <f>IF(E72="","",E72+ROUNDUP(G72,0)-1)</f>
        <v/>
      </c>
      <c r="G72" s="14" t="n">
        <v>2</v>
      </c>
      <c r="H72" s="10" t="inlineStr">
        <is>
          <t>Quy trình duyệt</t>
        </is>
      </c>
      <c r="I72" s="9" t="inlineStr">
        <is>
          <t>Chưa bắt đầu</t>
        </is>
      </c>
      <c r="J72" s="15" t="n">
        <v>0</v>
      </c>
      <c r="K72" s="10" t="inlineStr"/>
    </row>
    <row r="73" ht="30" customHeight="1">
      <c r="A73" s="9" t="n">
        <v>72</v>
      </c>
      <c r="B73" s="10" t="inlineStr">
        <is>
          <t>Phase 1 – Sprint 2: 5 Agent &amp; Quy trình duyệt</t>
        </is>
      </c>
      <c r="C73" s="10" t="inlineStr">
        <is>
          <t>Xây 4 hành động: Duyệt / Duyệt kèm sửa giờ đăng / Sửa caption rồi duyệt / Từ chối kèm lý do (chọn từ danh sách có sẵn)</t>
        </is>
      </c>
      <c r="D73" s="11" t="inlineStr"/>
      <c r="E73" s="12" t="n"/>
      <c r="F73" s="13">
        <f>IF(E73="","",E73+ROUNDUP(G73,0)-1)</f>
        <v/>
      </c>
      <c r="G73" s="14" t="n">
        <v>2</v>
      </c>
      <c r="H73" s="10" t="inlineStr">
        <is>
          <t>Quy trình duyệt</t>
        </is>
      </c>
      <c r="I73" s="9" t="inlineStr">
        <is>
          <t>Chưa bắt đầu</t>
        </is>
      </c>
      <c r="J73" s="15" t="n">
        <v>0</v>
      </c>
      <c r="K73" s="10" t="inlineStr"/>
    </row>
    <row r="74" ht="30" customHeight="1">
      <c r="A74" s="9" t="n">
        <v>73</v>
      </c>
      <c r="B74" s="10" t="inlineStr">
        <is>
          <t>Phase 1 – Sprint 2: 5 Agent &amp; Quy trình duyệt</t>
        </is>
      </c>
      <c r="C74" s="10" t="inlineStr">
        <is>
          <t>Khi chủ quán sửa caption → lưu bản đã sửa, dùng để đăng, ghi thành bài học cho D01</t>
        </is>
      </c>
      <c r="D74" s="11" t="inlineStr"/>
      <c r="E74" s="12" t="n"/>
      <c r="F74" s="13">
        <f>IF(E74="","",E74+ROUNDUP(G74,0)-1)</f>
        <v/>
      </c>
      <c r="G74" s="14" t="n">
        <v>1</v>
      </c>
      <c r="H74" s="10" t="inlineStr">
        <is>
          <t>Quy trình duyệt</t>
        </is>
      </c>
      <c r="I74" s="9" t="inlineStr">
        <is>
          <t>Chưa bắt đầu</t>
        </is>
      </c>
      <c r="J74" s="15" t="n">
        <v>0</v>
      </c>
      <c r="K74" s="10" t="inlineStr"/>
    </row>
    <row r="75" ht="30" customHeight="1">
      <c r="A75" s="9" t="n">
        <v>74</v>
      </c>
      <c r="B75" s="10" t="inlineStr">
        <is>
          <t>Phase 1 – Sprint 2: 5 Agent &amp; Quy trình duyệt</t>
        </is>
      </c>
      <c r="C75" s="10" t="inlineStr">
        <is>
          <t>Khi chủ quán sửa giờ đăng → cập nhật giờ mới trong hệ thống</t>
        </is>
      </c>
      <c r="D75" s="11" t="inlineStr"/>
      <c r="E75" s="12" t="n"/>
      <c r="F75" s="13">
        <f>IF(E75="","",E75+ROUNDUP(G75,0)-1)</f>
        <v/>
      </c>
      <c r="G75" s="14" t="n">
        <v>0.5</v>
      </c>
      <c r="H75" s="10" t="inlineStr">
        <is>
          <t>Quy trình duyệt</t>
        </is>
      </c>
      <c r="I75" s="9" t="inlineStr">
        <is>
          <t>Chưa bắt đầu</t>
        </is>
      </c>
      <c r="J75" s="15" t="n">
        <v>0</v>
      </c>
      <c r="K75" s="10" t="inlineStr"/>
    </row>
    <row r="76" ht="30" customHeight="1">
      <c r="A76" s="9" t="n">
        <v>75</v>
      </c>
      <c r="B76" s="10" t="inlineStr">
        <is>
          <t>Phase 1 – Sprint 2: 5 Agent &amp; Quy trình duyệt</t>
        </is>
      </c>
      <c r="C76" s="10" t="inlineStr">
        <is>
          <t>Sau khi đã duyệt → khoá caption/giờ đăng lại, chỉ Agency Admin mở lại được (có ghi log)</t>
        </is>
      </c>
      <c r="D76" s="11" t="inlineStr"/>
      <c r="E76" s="12" t="n"/>
      <c r="F76" s="13">
        <f>IF(E76="","",E76+ROUNDUP(G76,0)-1)</f>
        <v/>
      </c>
      <c r="G76" s="14" t="n">
        <v>1</v>
      </c>
      <c r="H76" s="10" t="inlineStr">
        <is>
          <t>Quy trình duyệt</t>
        </is>
      </c>
      <c r="I76" s="9" t="inlineStr">
        <is>
          <t>Chưa bắt đầu</t>
        </is>
      </c>
      <c r="J76" s="15" t="n">
        <v>0</v>
      </c>
      <c r="K76" s="10" t="inlineStr"/>
    </row>
    <row r="77" ht="30" customHeight="1">
      <c r="A77" s="2" t="n">
        <v>76</v>
      </c>
      <c r="B77" s="3" t="inlineStr">
        <is>
          <t>Phase 1 – Sprint 3: Portal &amp; Internal App</t>
        </is>
      </c>
      <c r="C77" s="3" t="inlineStr">
        <is>
          <t>Trang Tổng quan (Dashboard): chu kỳ hiện tại đang ở bước nào, có gì đang chờ duyệt</t>
        </is>
      </c>
      <c r="D77" s="4" t="inlineStr"/>
      <c r="E77" s="5" t="n"/>
      <c r="F77" s="6">
        <f>IF(E77="","",E77+ROUNDUP(G77,0)-1)</f>
        <v/>
      </c>
      <c r="G77" s="7" t="n">
        <v>1.5</v>
      </c>
      <c r="H77" s="3" t="inlineStr">
        <is>
          <t>Giao diện - Portal</t>
        </is>
      </c>
      <c r="I77" s="2" t="inlineStr">
        <is>
          <t>Chưa bắt đầu</t>
        </is>
      </c>
      <c r="J77" s="8" t="n">
        <v>0</v>
      </c>
      <c r="K77" s="3" t="inlineStr"/>
    </row>
    <row r="78" ht="30" customHeight="1">
      <c r="A78" s="9" t="n">
        <v>77</v>
      </c>
      <c r="B78" s="10" t="inlineStr">
        <is>
          <t>Phase 1 – Sprint 3: Portal &amp; Internal App</t>
        </is>
      </c>
      <c r="C78" s="10" t="inlineStr">
        <is>
          <t>Trang "Kế hoạch": xem &amp; duyệt Trụ nội dung (S2) và Kế hoạch nội dung (S3)</t>
        </is>
      </c>
      <c r="D78" s="11" t="inlineStr"/>
      <c r="E78" s="12" t="n"/>
      <c r="F78" s="13">
        <f>IF(E78="","",E78+ROUNDUP(G78,0)-1)</f>
        <v/>
      </c>
      <c r="G78" s="14" t="n">
        <v>2</v>
      </c>
      <c r="H78" s="10" t="inlineStr">
        <is>
          <t>Giao diện - Portal</t>
        </is>
      </c>
      <c r="I78" s="9" t="inlineStr">
        <is>
          <t>Chưa bắt đầu</t>
        </is>
      </c>
      <c r="J78" s="15" t="n">
        <v>0</v>
      </c>
      <c r="K78" s="10" t="inlineStr"/>
    </row>
    <row r="79" ht="30" customHeight="1">
      <c r="A79" s="9" t="n">
        <v>78</v>
      </c>
      <c r="B79" s="10" t="inlineStr">
        <is>
          <t>Phase 1 – Sprint 3: Portal &amp; Internal App</t>
        </is>
      </c>
      <c r="C79" s="10" t="inlineStr">
        <is>
          <t>Trang "Duyệt bài": danh sách bài chờ duyệt, thao tác duyệt/sửa/từ chối</t>
        </is>
      </c>
      <c r="D79" s="11" t="inlineStr"/>
      <c r="E79" s="12" t="n"/>
      <c r="F79" s="13">
        <f>IF(E79="","",E79+ROUNDUP(G79,0)-1)</f>
        <v/>
      </c>
      <c r="G79" s="14" t="n">
        <v>2.5</v>
      </c>
      <c r="H79" s="10" t="inlineStr">
        <is>
          <t>Giao diện - Portal</t>
        </is>
      </c>
      <c r="I79" s="9" t="inlineStr">
        <is>
          <t>Chưa bắt đầu</t>
        </is>
      </c>
      <c r="J79" s="15" t="n">
        <v>0</v>
      </c>
      <c r="K79" s="10" t="inlineStr"/>
    </row>
    <row r="80" ht="30" customHeight="1">
      <c r="A80" s="9" t="n">
        <v>79</v>
      </c>
      <c r="B80" s="10" t="inlineStr">
        <is>
          <t>Phase 1 – Sprint 3: Portal &amp; Internal App</t>
        </is>
      </c>
      <c r="C80" s="10" t="inlineStr">
        <is>
          <t>Trang "Thư viện ảnh": xem ảnh đã upload, lọc theo tag, xem yêu cầu xin ảnh đang chờ</t>
        </is>
      </c>
      <c r="D80" s="11" t="inlineStr"/>
      <c r="E80" s="12" t="n"/>
      <c r="F80" s="13">
        <f>IF(E80="","",E80+ROUNDUP(G80,0)-1)</f>
        <v/>
      </c>
      <c r="G80" s="14" t="n">
        <v>2</v>
      </c>
      <c r="H80" s="10" t="inlineStr">
        <is>
          <t>Giao diện - Portal</t>
        </is>
      </c>
      <c r="I80" s="9" t="inlineStr">
        <is>
          <t>Chưa bắt đầu</t>
        </is>
      </c>
      <c r="J80" s="15" t="n">
        <v>0</v>
      </c>
      <c r="K80" s="10" t="inlineStr"/>
    </row>
    <row r="81" ht="30" customHeight="1">
      <c r="A81" s="9" t="n">
        <v>80</v>
      </c>
      <c r="B81" s="10" t="inlineStr">
        <is>
          <t>Phase 1 – Sprint 3: Portal &amp; Internal App</t>
        </is>
      </c>
      <c r="C81" s="10" t="inlineStr">
        <is>
          <t>Màn hình upload ảnh tối ưu điện thoại: chụp trực tiếp hoặc chọn từ máy, ghi chú riêng từng ảnh, gắn đúng vào yêu cầu xin ảnh</t>
        </is>
      </c>
      <c r="D81" s="11" t="inlineStr"/>
      <c r="E81" s="12" t="n"/>
      <c r="F81" s="13">
        <f>IF(E81="","",E81+ROUNDUP(G81,0)-1)</f>
        <v/>
      </c>
      <c r="G81" s="14" t="n">
        <v>2</v>
      </c>
      <c r="H81" s="10" t="inlineStr">
        <is>
          <t>Giao diện - Portal</t>
        </is>
      </c>
      <c r="I81" s="9" t="inlineStr">
        <is>
          <t>Chưa bắt đầu</t>
        </is>
      </c>
      <c r="J81" s="15" t="n">
        <v>0</v>
      </c>
      <c r="K81" s="10" t="inlineStr"/>
    </row>
    <row r="82" ht="30" customHeight="1">
      <c r="A82" s="9" t="n">
        <v>81</v>
      </c>
      <c r="B82" s="10" t="inlineStr">
        <is>
          <t>Phase 1 – Sprint 3: Portal &amp; Internal App</t>
        </is>
      </c>
      <c r="C82" s="10" t="inlineStr">
        <is>
          <t>Trang "Cài đặt": form ngắn nhập thông tin thương hiệu (tông giọng, từ khoá, từ cấm, caption mẫu, màu, logo) — điền &amp; Lưu, không cần biết kỹ thuật</t>
        </is>
      </c>
      <c r="D82" s="11" t="inlineStr"/>
      <c r="E82" s="12" t="n"/>
      <c r="F82" s="13">
        <f>IF(E82="","",E82+ROUNDUP(G82,0)-1)</f>
        <v/>
      </c>
      <c r="G82" s="14" t="n">
        <v>2</v>
      </c>
      <c r="H82" s="10" t="inlineStr">
        <is>
          <t>Giao diện - Portal</t>
        </is>
      </c>
      <c r="I82" s="9" t="inlineStr">
        <is>
          <t>Chưa bắt đầu</t>
        </is>
      </c>
      <c r="J82" s="15" t="n">
        <v>0</v>
      </c>
      <c r="K82" s="10" t="inlineStr">
        <is>
          <t>No-code</t>
        </is>
      </c>
    </row>
    <row r="83" ht="30" customHeight="1">
      <c r="A83" s="9" t="n">
        <v>82</v>
      </c>
      <c r="B83" s="10" t="inlineStr">
        <is>
          <t>Phase 1 – Sprint 3: Portal &amp; Internal App</t>
        </is>
      </c>
      <c r="C83" s="10" t="inlineStr">
        <is>
          <t>Nút "Đánh dấu đã đăng": sau khi tự đăng tay lên FB/IG, bấm để đóng bài, dọn dashboard</t>
        </is>
      </c>
      <c r="D83" s="11" t="inlineStr"/>
      <c r="E83" s="12" t="n"/>
      <c r="F83" s="13">
        <f>IF(E83="","",E83+ROUNDUP(G83,0)-1)</f>
        <v/>
      </c>
      <c r="G83" s="14" t="n">
        <v>0.5</v>
      </c>
      <c r="H83" s="10" t="inlineStr">
        <is>
          <t>Giao diện - Portal</t>
        </is>
      </c>
      <c r="I83" s="9" t="inlineStr">
        <is>
          <t>Chưa bắt đầu</t>
        </is>
      </c>
      <c r="J83" s="15" t="n">
        <v>0</v>
      </c>
      <c r="K83" s="10" t="inlineStr"/>
    </row>
    <row r="84" ht="30" customHeight="1">
      <c r="A84" s="9" t="n">
        <v>83</v>
      </c>
      <c r="B84" s="10" t="inlineStr">
        <is>
          <t>Phase 1 – Sprint 3: Portal &amp; Internal App</t>
        </is>
      </c>
      <c r="C84" s="10" t="inlineStr">
        <is>
          <t>Đăng nhập bằng email/mật khẩu (Supabase Auth), quên mật khẩu qua email</t>
        </is>
      </c>
      <c r="D84" s="11" t="inlineStr"/>
      <c r="E84" s="12" t="n"/>
      <c r="F84" s="13">
        <f>IF(E84="","",E84+ROUNDUP(G84,0)-1)</f>
        <v/>
      </c>
      <c r="G84" s="14" t="n">
        <v>1.5</v>
      </c>
      <c r="H84" s="10" t="inlineStr">
        <is>
          <t>Giao diện - Portal</t>
        </is>
      </c>
      <c r="I84" s="9" t="inlineStr">
        <is>
          <t>Chưa bắt đầu</t>
        </is>
      </c>
      <c r="J84" s="15" t="n">
        <v>0</v>
      </c>
      <c r="K84" s="10" t="inlineStr"/>
    </row>
    <row r="85" ht="30" customHeight="1">
      <c r="A85" s="9" t="n">
        <v>84</v>
      </c>
      <c r="B85" s="10" t="inlineStr">
        <is>
          <t>Phase 1 – Sprint 3: Portal &amp; Internal App</t>
        </is>
      </c>
      <c r="C85" s="10" t="inlineStr">
        <is>
          <t>Phân quyền hiển thị: client_staff không thấy nút Duyệt ở bất kỳ đâu; chỉ client_admin thấy</t>
        </is>
      </c>
      <c r="D85" s="11" t="inlineStr"/>
      <c r="E85" s="12" t="n"/>
      <c r="F85" s="13">
        <f>IF(E85="","",E85+ROUNDUP(G85,0)-1)</f>
        <v/>
      </c>
      <c r="G85" s="14" t="n">
        <v>1</v>
      </c>
      <c r="H85" s="10" t="inlineStr">
        <is>
          <t>Giao diện - Portal</t>
        </is>
      </c>
      <c r="I85" s="9" t="inlineStr">
        <is>
          <t>Chưa bắt đầu</t>
        </is>
      </c>
      <c r="J85" s="15" t="n">
        <v>0</v>
      </c>
      <c r="K85" s="10" t="inlineStr"/>
    </row>
    <row r="86" ht="30" customHeight="1">
      <c r="A86" s="9" t="n">
        <v>85</v>
      </c>
      <c r="B86" s="10" t="inlineStr">
        <is>
          <t>Phase 1 – Sprint 3: Portal &amp; Internal App</t>
        </is>
      </c>
      <c r="C86" s="10" t="inlineStr">
        <is>
          <t>Trang Onboarding khách hàng mới: nhập tên, ngành, platform, timezone, tạo tài khoản đầu tiên</t>
        </is>
      </c>
      <c r="D86" s="11" t="inlineStr"/>
      <c r="E86" s="12" t="n"/>
      <c r="F86" s="13">
        <f>IF(E86="","",E86+ROUNDUP(G86,0)-1)</f>
        <v/>
      </c>
      <c r="G86" s="14" t="n">
        <v>2</v>
      </c>
      <c r="H86" s="10" t="inlineStr">
        <is>
          <t>Giao diện - Internal App</t>
        </is>
      </c>
      <c r="I86" s="9" t="inlineStr">
        <is>
          <t>Chưa bắt đầu</t>
        </is>
      </c>
      <c r="J86" s="15" t="n">
        <v>0</v>
      </c>
      <c r="K86" s="10" t="inlineStr"/>
    </row>
    <row r="87" ht="30" customHeight="1">
      <c r="A87" s="9" t="n">
        <v>86</v>
      </c>
      <c r="B87" s="10" t="inlineStr">
        <is>
          <t>Phase 1 – Sprint 3: Portal &amp; Internal App</t>
        </is>
      </c>
      <c r="C87" s="10" t="inlineStr">
        <is>
          <t>Trang danh sách bài viết theo từng khách hàng, lọc theo trạng thái vòng đời</t>
        </is>
      </c>
      <c r="D87" s="11" t="inlineStr"/>
      <c r="E87" s="12" t="n"/>
      <c r="F87" s="13">
        <f>IF(E87="","",E87+ROUNDUP(G87,0)-1)</f>
        <v/>
      </c>
      <c r="G87" s="14" t="n">
        <v>2</v>
      </c>
      <c r="H87" s="10" t="inlineStr">
        <is>
          <t>Giao diện - Internal App</t>
        </is>
      </c>
      <c r="I87" s="9" t="inlineStr">
        <is>
          <t>Chưa bắt đầu</t>
        </is>
      </c>
      <c r="J87" s="15" t="n">
        <v>0</v>
      </c>
      <c r="K87" s="10" t="inlineStr"/>
    </row>
    <row r="88" ht="30" customHeight="1">
      <c r="A88" s="9" t="n">
        <v>87</v>
      </c>
      <c r="B88" s="10" t="inlineStr">
        <is>
          <t>Phase 1 – Sprint 3: Portal &amp; Internal App</t>
        </is>
      </c>
      <c r="C88" s="10" t="inlineStr">
        <is>
          <t>Trang xem log lỗi cơ bản (chưa cần hàng đợi lỗi phức tạp)</t>
        </is>
      </c>
      <c r="D88" s="11" t="inlineStr"/>
      <c r="E88" s="12" t="n"/>
      <c r="F88" s="13">
        <f>IF(E88="","",E88+ROUNDUP(G88,0)-1)</f>
        <v/>
      </c>
      <c r="G88" s="14" t="n">
        <v>1.5</v>
      </c>
      <c r="H88" s="10" t="inlineStr">
        <is>
          <t>Giao diện - Internal App</t>
        </is>
      </c>
      <c r="I88" s="9" t="inlineStr">
        <is>
          <t>Chưa bắt đầu</t>
        </is>
      </c>
      <c r="J88" s="15" t="n">
        <v>0</v>
      </c>
      <c r="K88" s="10" t="inlineStr"/>
    </row>
    <row r="89" ht="30" customHeight="1">
      <c r="A89" s="9" t="n">
        <v>88</v>
      </c>
      <c r="B89" s="10" t="inlineStr">
        <is>
          <t>Phase 1 – Sprint 3: Portal &amp; Internal App</t>
        </is>
      </c>
      <c r="C89" s="10" t="inlineStr">
        <is>
          <t>Trang xem điểm số Evaluator + lịch sử các lần thử lại cho từng bài (thứ chủ quán không thấy được)</t>
        </is>
      </c>
      <c r="D89" s="11" t="inlineStr"/>
      <c r="E89" s="12" t="n"/>
      <c r="F89" s="13">
        <f>IF(E89="","",E89+ROUNDUP(G89,0)-1)</f>
        <v/>
      </c>
      <c r="G89" s="14" t="n">
        <v>1.5</v>
      </c>
      <c r="H89" s="10" t="inlineStr">
        <is>
          <t>Giao diện - Internal App</t>
        </is>
      </c>
      <c r="I89" s="9" t="inlineStr">
        <is>
          <t>Chưa bắt đầu</t>
        </is>
      </c>
      <c r="J89" s="15" t="n">
        <v>0</v>
      </c>
      <c r="K89" s="10" t="inlineStr"/>
    </row>
    <row r="90" ht="30" customHeight="1">
      <c r="A90" s="9" t="n">
        <v>89</v>
      </c>
      <c r="B90" s="10" t="inlineStr">
        <is>
          <t>Phase 1 – Sprint 3: Portal &amp; Internal App</t>
        </is>
      </c>
      <c r="C90" s="10" t="inlineStr">
        <is>
          <t>Chức năng tạm dừng/kích hoạt lại 1 khách hàng</t>
        </is>
      </c>
      <c r="D90" s="11" t="inlineStr"/>
      <c r="E90" s="12" t="n"/>
      <c r="F90" s="13">
        <f>IF(E90="","",E90+ROUNDUP(G90,0)-1)</f>
        <v/>
      </c>
      <c r="G90" s="14" t="n">
        <v>1</v>
      </c>
      <c r="H90" s="10" t="inlineStr">
        <is>
          <t>Giao diện - Internal App</t>
        </is>
      </c>
      <c r="I90" s="9" t="inlineStr">
        <is>
          <t>Chưa bắt đầu</t>
        </is>
      </c>
      <c r="J90" s="15" t="n">
        <v>0</v>
      </c>
      <c r="K90" s="10" t="inlineStr"/>
    </row>
    <row r="91" ht="30" customHeight="1">
      <c r="A91" s="2" t="n">
        <v>90</v>
      </c>
      <c r="B91" s="3" t="inlineStr">
        <is>
          <t>Phase 1 – Sprint 4: Hoàn thiện &amp; Chạy Pilot</t>
        </is>
      </c>
      <c r="C91" s="3" t="inlineStr">
        <is>
          <t>Kiểm thử toàn bộ luồng end-to-end: tạo pillar → lên kế hoạch → viết caption → làm ảnh → chấm điểm → duyệt → đánh dấu đã đăng</t>
        </is>
      </c>
      <c r="D91" s="4" t="inlineStr"/>
      <c r="E91" s="5" t="n"/>
      <c r="F91" s="6">
        <f>IF(E91="","",E91+ROUNDUP(G91,0)-1)</f>
        <v/>
      </c>
      <c r="G91" s="7" t="n">
        <v>2</v>
      </c>
      <c r="H91" s="3" t="inlineStr">
        <is>
          <t>Kiểm thử</t>
        </is>
      </c>
      <c r="I91" s="2" t="inlineStr">
        <is>
          <t>Chưa bắt đầu</t>
        </is>
      </c>
      <c r="J91" s="8" t="n">
        <v>0</v>
      </c>
      <c r="K91" s="3" t="inlineStr"/>
    </row>
    <row r="92" ht="30" customHeight="1">
      <c r="A92" s="9" t="n">
        <v>91</v>
      </c>
      <c r="B92" s="10" t="inlineStr">
        <is>
          <t>Phase 1 – Sprint 4: Hoàn thiện &amp; Chạy Pilot</t>
        </is>
      </c>
      <c r="C92" s="10" t="inlineStr">
        <is>
          <t>Kiểm thử các trường hợp biên: hết ngân sách AI, thiếu ảnh, đánh giá không đạt 3 lần, khách hàng bị tạm dừng</t>
        </is>
      </c>
      <c r="D92" s="11" t="inlineStr"/>
      <c r="E92" s="12" t="n"/>
      <c r="F92" s="13">
        <f>IF(E92="","",E92+ROUNDUP(G92,0)-1)</f>
        <v/>
      </c>
      <c r="G92" s="14" t="n">
        <v>1.5</v>
      </c>
      <c r="H92" s="10" t="inlineStr">
        <is>
          <t>Kiểm thử</t>
        </is>
      </c>
      <c r="I92" s="9" t="inlineStr">
        <is>
          <t>Chưa bắt đầu</t>
        </is>
      </c>
      <c r="J92" s="15" t="n">
        <v>0</v>
      </c>
      <c r="K92" s="10" t="inlineStr"/>
    </row>
    <row r="93" ht="30" customHeight="1">
      <c r="A93" s="9" t="n">
        <v>92</v>
      </c>
      <c r="B93" s="10" t="inlineStr">
        <is>
          <t>Phase 1 – Sprint 4: Hoàn thiện &amp; Chạy Pilot</t>
        </is>
      </c>
      <c r="C93" s="10" t="inlineStr">
        <is>
          <t>Chuẩn bị dữ liệu mẫu cho Bardinh Coffee: thông tin thương hiệu, vài ảnh mẫu, caption mẫu</t>
        </is>
      </c>
      <c r="D93" s="11" t="inlineStr"/>
      <c r="E93" s="12" t="n"/>
      <c r="F93" s="13">
        <f>IF(E93="","",E93+ROUNDUP(G93,0)-1)</f>
        <v/>
      </c>
      <c r="G93" s="14" t="n">
        <v>1</v>
      </c>
      <c r="H93" s="10" t="inlineStr">
        <is>
          <t>Vận hành</t>
        </is>
      </c>
      <c r="I93" s="9" t="inlineStr">
        <is>
          <t>Chưa bắt đầu</t>
        </is>
      </c>
      <c r="J93" s="15" t="n">
        <v>0</v>
      </c>
      <c r="K93" s="10" t="inlineStr"/>
    </row>
    <row r="94" ht="30" customHeight="1">
      <c r="A94" s="9" t="n">
        <v>93</v>
      </c>
      <c r="B94" s="10" t="inlineStr">
        <is>
          <t>Phase 1 – Sprint 4: Hoàn thiện &amp; Chạy Pilot</t>
        </is>
      </c>
      <c r="C94" s="10" t="inlineStr">
        <is>
          <t>Setup Onboarding thật cho Bardinh Coffee trên hệ thống</t>
        </is>
      </c>
      <c r="D94" s="11" t="inlineStr"/>
      <c r="E94" s="12" t="n"/>
      <c r="F94" s="13">
        <f>IF(E94="","",E94+ROUNDUP(G94,0)-1)</f>
        <v/>
      </c>
      <c r="G94" s="14" t="n">
        <v>0.5</v>
      </c>
      <c r="H94" s="10" t="inlineStr">
        <is>
          <t>Vận hành</t>
        </is>
      </c>
      <c r="I94" s="9" t="inlineStr">
        <is>
          <t>Chưa bắt đầu</t>
        </is>
      </c>
      <c r="J94" s="15" t="n">
        <v>0</v>
      </c>
      <c r="K94" s="10" t="inlineStr"/>
    </row>
    <row r="95" ht="30" customHeight="1">
      <c r="A95" s="9" t="n">
        <v>94</v>
      </c>
      <c r="B95" s="10" t="inlineStr">
        <is>
          <t>Phase 1 – Sprint 4: Hoàn thiện &amp; Chạy Pilot</t>
        </is>
      </c>
      <c r="C95" s="10" t="inlineStr">
        <is>
          <t>Chạy thử chu kỳ tuần đầu tiên có giám sát chặt (theo dõi từng bước)</t>
        </is>
      </c>
      <c r="D95" s="11" t="inlineStr"/>
      <c r="E95" s="12" t="n"/>
      <c r="F95" s="13">
        <f>IF(E95="","",E95+ROUNDUP(G95,0)-1)</f>
        <v/>
      </c>
      <c r="G95" s="14" t="n">
        <v>1</v>
      </c>
      <c r="H95" s="10" t="inlineStr">
        <is>
          <t>Vận hành</t>
        </is>
      </c>
      <c r="I95" s="9" t="inlineStr">
        <is>
          <t>Chưa bắt đầu</t>
        </is>
      </c>
      <c r="J95" s="15" t="n">
        <v>0</v>
      </c>
      <c r="K95" s="10" t="inlineStr"/>
    </row>
    <row r="96" ht="30" customHeight="1">
      <c r="A96" s="9" t="n">
        <v>95</v>
      </c>
      <c r="B96" s="10" t="inlineStr">
        <is>
          <t>Phase 1 – Sprint 4: Hoàn thiện &amp; Chạy Pilot</t>
        </is>
      </c>
      <c r="C96" s="10" t="inlineStr">
        <is>
          <t>Thu thập lỗi phát sinh từ chu kỳ 1, sửa nhanh</t>
        </is>
      </c>
      <c r="D96" s="11" t="inlineStr"/>
      <c r="E96" s="12" t="n"/>
      <c r="F96" s="13">
        <f>IF(E96="","",E96+ROUNDUP(G96,0)-1)</f>
        <v/>
      </c>
      <c r="G96" s="14" t="n">
        <v>1.5</v>
      </c>
      <c r="H96" s="10" t="inlineStr">
        <is>
          <t>Kiểm thử</t>
        </is>
      </c>
      <c r="I96" s="9" t="inlineStr">
        <is>
          <t>Chưa bắt đầu</t>
        </is>
      </c>
      <c r="J96" s="15" t="n">
        <v>0</v>
      </c>
      <c r="K96" s="10" t="inlineStr"/>
    </row>
    <row r="97" ht="30" customHeight="1">
      <c r="A97" s="9" t="n">
        <v>96</v>
      </c>
      <c r="B97" s="10" t="inlineStr">
        <is>
          <t>Phase 1 – Sprint 4: Hoàn thiện &amp; Chạy Pilot</t>
        </is>
      </c>
      <c r="C97" s="10" t="inlineStr">
        <is>
          <t>Chạy chu kỳ tuần thứ 2 — kiểm tra "trí nhớ agent" có thực sự dùng được bài học từ chu kỳ 1</t>
        </is>
      </c>
      <c r="D97" s="11" t="inlineStr"/>
      <c r="E97" s="12" t="n"/>
      <c r="F97" s="13">
        <f>IF(E97="","",E97+ROUNDUP(G97,0)-1)</f>
        <v/>
      </c>
      <c r="G97" s="14" t="n">
        <v>1</v>
      </c>
      <c r="H97" s="10" t="inlineStr">
        <is>
          <t>Vận hành</t>
        </is>
      </c>
      <c r="I97" s="9" t="inlineStr">
        <is>
          <t>Chưa bắt đầu</t>
        </is>
      </c>
      <c r="J97" s="15" t="n">
        <v>0</v>
      </c>
      <c r="K97" s="10" t="inlineStr">
        <is>
          <t>Verify Recall thật, không giả lập</t>
        </is>
      </c>
    </row>
    <row r="98" ht="30" customHeight="1">
      <c r="A98" s="9" t="n">
        <v>97</v>
      </c>
      <c r="B98" s="10" t="inlineStr">
        <is>
          <t>Phase 1 – Sprint 4: Hoàn thiện &amp; Chạy Pilot</t>
        </is>
      </c>
      <c r="C98" s="10" t="inlineStr">
        <is>
          <t>Xác nhận không có worker/task bị treo quá 24h trong suốt 2 chu kỳ</t>
        </is>
      </c>
      <c r="D98" s="11" t="inlineStr"/>
      <c r="E98" s="12" t="n"/>
      <c r="F98" s="13">
        <f>IF(E98="","",E98+ROUNDUP(G98,0)-1)</f>
        <v/>
      </c>
      <c r="G98" s="14" t="n">
        <v>0.5</v>
      </c>
      <c r="H98" s="10" t="inlineStr">
        <is>
          <t>Kiểm thử</t>
        </is>
      </c>
      <c r="I98" s="9" t="inlineStr">
        <is>
          <t>Chưa bắt đầu</t>
        </is>
      </c>
      <c r="J98" s="15" t="n">
        <v>0</v>
      </c>
      <c r="K98" s="10" t="inlineStr"/>
    </row>
    <row r="99" ht="30" customHeight="1">
      <c r="A99" s="9" t="n">
        <v>98</v>
      </c>
      <c r="B99" s="10" t="inlineStr">
        <is>
          <t>Phase 1 – Sprint 4: Hoàn thiện &amp; Chạy Pilot</t>
        </is>
      </c>
      <c r="C99" s="10" t="inlineStr">
        <is>
          <t>Trường &amp; Thuận đánh giá chất lượng caption/ảnh có thực sự dùng được không (không chỉ "chạy được")</t>
        </is>
      </c>
      <c r="D99" s="11" t="inlineStr"/>
      <c r="E99" s="12" t="n"/>
      <c r="F99" s="13">
        <f>IF(E99="","",E99+ROUNDUP(G99,0)-1)</f>
        <v/>
      </c>
      <c r="G99" s="14" t="n">
        <v>0.5</v>
      </c>
      <c r="H99" s="10" t="inlineStr">
        <is>
          <t>Vận hành</t>
        </is>
      </c>
      <c r="I99" s="9" t="inlineStr">
        <is>
          <t>Chưa bắt đầu</t>
        </is>
      </c>
      <c r="J99" s="15" t="n">
        <v>0</v>
      </c>
      <c r="K99" s="10" t="inlineStr"/>
    </row>
    <row r="100" ht="30" customHeight="1">
      <c r="A100" s="9" t="n">
        <v>99</v>
      </c>
      <c r="B100" s="10" t="inlineStr">
        <is>
          <t>Phase 1 – Sprint 4: Hoàn thiện &amp; Chạy Pilot</t>
        </is>
      </c>
      <c r="C100" s="10" t="inlineStr">
        <is>
          <t>Tổng kết đạt tiêu chí Pass Phase 1 → quyết định mở Phase 2</t>
        </is>
      </c>
      <c r="D100" s="11" t="inlineStr"/>
      <c r="E100" s="12" t="n"/>
      <c r="F100" s="13">
        <f>IF(E100="","",E100+ROUNDUP(G100,0)-1)</f>
        <v/>
      </c>
      <c r="G100" s="14" t="n">
        <v>0.5</v>
      </c>
      <c r="H100" s="10" t="inlineStr">
        <is>
          <t>Quyết định</t>
        </is>
      </c>
      <c r="I100" s="9" t="inlineStr">
        <is>
          <t>Chưa bắt đầu</t>
        </is>
      </c>
      <c r="J100" s="15" t="n">
        <v>0</v>
      </c>
      <c r="K100" s="10" t="inlineStr">
        <is>
          <t>Xem sheet Tổng quan - Tiêu chí Pass</t>
        </is>
      </c>
    </row>
    <row r="101" ht="30" customHeight="1">
      <c r="A101" s="2" t="n">
        <v>100</v>
      </c>
      <c r="B101" s="3" t="inlineStr">
        <is>
          <t>Phase 2 – Vận hành pilot &amp; tinh chỉnh</t>
        </is>
      </c>
      <c r="C101" s="3" t="inlineStr">
        <is>
          <t>Vận hành đăng tay liên tục hàng tuần cho Bardinh Coffee, theo dõi sát</t>
        </is>
      </c>
      <c r="D101" s="4" t="inlineStr"/>
      <c r="E101" s="5" t="n"/>
      <c r="F101" s="6">
        <f>IF(E101="","",E101+ROUNDUP(G101,0)-1)</f>
        <v/>
      </c>
      <c r="G101" s="7" t="n">
        <v>20</v>
      </c>
      <c r="H101" s="3" t="inlineStr">
        <is>
          <t>Vận hành</t>
        </is>
      </c>
      <c r="I101" s="2" t="inlineStr">
        <is>
          <t>Chưa bắt đầu</t>
        </is>
      </c>
      <c r="J101" s="8" t="n">
        <v>0</v>
      </c>
      <c r="K101" s="3" t="inlineStr">
        <is>
          <t>Xuyên suốt Phase 2 (~4 tuần)</t>
        </is>
      </c>
    </row>
    <row r="102" ht="30" customHeight="1">
      <c r="A102" s="9" t="n">
        <v>101</v>
      </c>
      <c r="B102" s="10" t="inlineStr">
        <is>
          <t>Phase 2 – Vận hành pilot &amp; tinh chỉnh</t>
        </is>
      </c>
      <c r="C102" s="10" t="inlineStr">
        <is>
          <t>Thu thập &amp; tinh chỉnh prompt B02 (chọn pillar) dựa trên phản hồi thật</t>
        </is>
      </c>
      <c r="D102" s="11" t="inlineStr"/>
      <c r="E102" s="12" t="n"/>
      <c r="F102" s="13">
        <f>IF(E102="","",E102+ROUNDUP(G102,0)-1)</f>
        <v/>
      </c>
      <c r="G102" s="14" t="n">
        <v>2</v>
      </c>
      <c r="H102" s="10" t="inlineStr">
        <is>
          <t>Logic Agent (AI)</t>
        </is>
      </c>
      <c r="I102" s="9" t="inlineStr">
        <is>
          <t>Chưa bắt đầu</t>
        </is>
      </c>
      <c r="J102" s="15" t="n">
        <v>0</v>
      </c>
      <c r="K102" s="10" t="inlineStr"/>
    </row>
    <row r="103" ht="30" customHeight="1">
      <c r="A103" s="9" t="n">
        <v>102</v>
      </c>
      <c r="B103" s="10" t="inlineStr">
        <is>
          <t>Phase 2 – Vận hành pilot &amp; tinh chỉnh</t>
        </is>
      </c>
      <c r="C103" s="10" t="inlineStr">
        <is>
          <t>Thu thập &amp; tinh chỉnh prompt B03 (lên kế hoạch)</t>
        </is>
      </c>
      <c r="D103" s="11" t="inlineStr"/>
      <c r="E103" s="12" t="n"/>
      <c r="F103" s="13">
        <f>IF(E103="","",E103+ROUNDUP(G103,0)-1)</f>
        <v/>
      </c>
      <c r="G103" s="14" t="n">
        <v>1.5</v>
      </c>
      <c r="H103" s="10" t="inlineStr">
        <is>
          <t>Logic Agent (AI)</t>
        </is>
      </c>
      <c r="I103" s="9" t="inlineStr">
        <is>
          <t>Chưa bắt đầu</t>
        </is>
      </c>
      <c r="J103" s="15" t="n">
        <v>0</v>
      </c>
      <c r="K103" s="10" t="inlineStr"/>
    </row>
    <row r="104" ht="30" customHeight="1">
      <c r="A104" s="9" t="n">
        <v>103</v>
      </c>
      <c r="B104" s="10" t="inlineStr">
        <is>
          <t>Phase 2 – Vận hành pilot &amp; tinh chỉnh</t>
        </is>
      </c>
      <c r="C104" s="10" t="inlineStr">
        <is>
          <t>Thu thập &amp; tinh chỉnh prompt D01 (viết caption)</t>
        </is>
      </c>
      <c r="D104" s="11" t="inlineStr"/>
      <c r="E104" s="12" t="n"/>
      <c r="F104" s="13">
        <f>IF(E104="","",E104+ROUNDUP(G104,0)-1)</f>
        <v/>
      </c>
      <c r="G104" s="14" t="n">
        <v>2</v>
      </c>
      <c r="H104" s="10" t="inlineStr">
        <is>
          <t>Logic Agent (AI)</t>
        </is>
      </c>
      <c r="I104" s="9" t="inlineStr">
        <is>
          <t>Chưa bắt đầu</t>
        </is>
      </c>
      <c r="J104" s="15" t="n">
        <v>0</v>
      </c>
      <c r="K104" s="10" t="inlineStr"/>
    </row>
    <row r="105" ht="30" customHeight="1">
      <c r="A105" s="9" t="n">
        <v>104</v>
      </c>
      <c r="B105" s="10" t="inlineStr">
        <is>
          <t>Phase 2 – Vận hành pilot &amp; tinh chỉnh</t>
        </is>
      </c>
      <c r="C105" s="10" t="inlineStr">
        <is>
          <t>Thu thập &amp; tinh chỉnh prompt D02 (làm ảnh)</t>
        </is>
      </c>
      <c r="D105" s="11" t="inlineStr"/>
      <c r="E105" s="12" t="n"/>
      <c r="F105" s="13">
        <f>IF(E105="","",E105+ROUNDUP(G105,0)-1)</f>
        <v/>
      </c>
      <c r="G105" s="14" t="n">
        <v>2</v>
      </c>
      <c r="H105" s="10" t="inlineStr">
        <is>
          <t>Logic Agent (AI)</t>
        </is>
      </c>
      <c r="I105" s="9" t="inlineStr">
        <is>
          <t>Chưa bắt đầu</t>
        </is>
      </c>
      <c r="J105" s="15" t="n">
        <v>0</v>
      </c>
      <c r="K105" s="10" t="inlineStr"/>
    </row>
    <row r="106" ht="30" customHeight="1">
      <c r="A106" s="9" t="n">
        <v>105</v>
      </c>
      <c r="B106" s="10" t="inlineStr">
        <is>
          <t>Phase 2 – Vận hành pilot &amp; tinh chỉnh</t>
        </is>
      </c>
      <c r="C106" s="10" t="inlineStr">
        <is>
          <t>Đánh giá lại ngưỡng đạt/không đạt của E01 (7.0/3.5) — có khớp đánh giá thật của con người không, điều chỉnh nếu cần</t>
        </is>
      </c>
      <c r="D106" s="11" t="inlineStr"/>
      <c r="E106" s="12" t="n"/>
      <c r="F106" s="13">
        <f>IF(E106="","",E106+ROUNDUP(G106,0)-1)</f>
        <v/>
      </c>
      <c r="G106" s="14" t="n">
        <v>1.5</v>
      </c>
      <c r="H106" s="10" t="inlineStr">
        <is>
          <t>Logic Agent (AI)</t>
        </is>
      </c>
      <c r="I106" s="9" t="inlineStr">
        <is>
          <t>Chưa bắt đầu</t>
        </is>
      </c>
      <c r="J106" s="15" t="n">
        <v>0</v>
      </c>
      <c r="K106" s="10" t="inlineStr"/>
    </row>
    <row r="107" ht="30" customHeight="1">
      <c r="A107" s="9" t="n">
        <v>106</v>
      </c>
      <c r="B107" s="10" t="inlineStr">
        <is>
          <t>Phase 2 – Vận hành pilot &amp; tinh chỉnh</t>
        </is>
      </c>
      <c r="C107" s="10" t="inlineStr">
        <is>
          <t>Rà soát &amp; mở rộng hệ thống tag ảnh trong thư viện nếu lọc tag không tìm đúng ảnh</t>
        </is>
      </c>
      <c r="D107" s="11" t="inlineStr"/>
      <c r="E107" s="12" t="n"/>
      <c r="F107" s="13">
        <f>IF(E107="","",E107+ROUNDUP(G107,0)-1)</f>
        <v/>
      </c>
      <c r="G107" s="14" t="n">
        <v>1.5</v>
      </c>
      <c r="H107" s="10" t="inlineStr">
        <is>
          <t>Dữ liệu</t>
        </is>
      </c>
      <c r="I107" s="9" t="inlineStr">
        <is>
          <t>Chưa bắt đầu</t>
        </is>
      </c>
      <c r="J107" s="15" t="n">
        <v>0</v>
      </c>
      <c r="K107" s="10" t="inlineStr"/>
    </row>
    <row r="108" ht="30" customHeight="1">
      <c r="A108" s="9" t="n">
        <v>107</v>
      </c>
      <c r="B108" s="10" t="inlineStr">
        <is>
          <t>Phase 2 – Vận hành pilot &amp; tinh chỉnh</t>
        </is>
      </c>
      <c r="C108" s="10" t="inlineStr">
        <is>
          <t>Theo dõi &amp; báo cáo: % chu kỳ chạy trơn tru không lỗi trong 4 tuần liên tục</t>
        </is>
      </c>
      <c r="D108" s="11" t="inlineStr"/>
      <c r="E108" s="12" t="n"/>
      <c r="F108" s="13">
        <f>IF(E108="","",E108+ROUNDUP(G108,0)-1)</f>
        <v/>
      </c>
      <c r="G108" s="14" t="n">
        <v>1</v>
      </c>
      <c r="H108" s="10" t="inlineStr">
        <is>
          <t>Vận hành</t>
        </is>
      </c>
      <c r="I108" s="9" t="inlineStr">
        <is>
          <t>Chưa bắt đầu</t>
        </is>
      </c>
      <c r="J108" s="15" t="n">
        <v>0</v>
      </c>
      <c r="K108" s="10" t="inlineStr">
        <is>
          <t>KR1-rút gọn 🔶4 tuần</t>
        </is>
      </c>
    </row>
    <row r="109" ht="30" customHeight="1">
      <c r="A109" s="9" t="n">
        <v>108</v>
      </c>
      <c r="B109" s="10" t="inlineStr">
        <is>
          <t>Phase 2 – Vận hành pilot &amp; tinh chỉnh</t>
        </is>
      </c>
      <c r="C109" s="10" t="inlineStr">
        <is>
          <t>Theo dõi &amp; báo cáo: % bài được duyệt ngay lần đầu (mục tiêu ≥70%)</t>
        </is>
      </c>
      <c r="D109" s="11" t="inlineStr"/>
      <c r="E109" s="12" t="n"/>
      <c r="F109" s="13">
        <f>IF(E109="","",E109+ROUNDUP(G109,0)-1)</f>
        <v/>
      </c>
      <c r="G109" s="14" t="n">
        <v>1</v>
      </c>
      <c r="H109" s="10" t="inlineStr">
        <is>
          <t>Vận hành</t>
        </is>
      </c>
      <c r="I109" s="9" t="inlineStr">
        <is>
          <t>Chưa bắt đầu</t>
        </is>
      </c>
      <c r="J109" s="15" t="n">
        <v>0</v>
      </c>
      <c r="K109" s="10" t="inlineStr">
        <is>
          <t>KR2 🔶70%</t>
        </is>
      </c>
    </row>
    <row r="110" ht="30" customHeight="1">
      <c r="A110" s="9" t="n">
        <v>109</v>
      </c>
      <c r="B110" s="10" t="inlineStr">
        <is>
          <t>Phase 2 – Vận hành pilot &amp; tinh chỉnh</t>
        </is>
      </c>
      <c r="C110" s="10" t="inlineStr">
        <is>
          <t>Theo dõi &amp; báo cáo: thời gian từ tạo nội dung đến khi được duyệt (mục tiêu ≤4 giờ)</t>
        </is>
      </c>
      <c r="D110" s="11" t="inlineStr"/>
      <c r="E110" s="12" t="n"/>
      <c r="F110" s="13">
        <f>IF(E110="","",E110+ROUNDUP(G110,0)-1)</f>
        <v/>
      </c>
      <c r="G110" s="14" t="n">
        <v>1</v>
      </c>
      <c r="H110" s="10" t="inlineStr">
        <is>
          <t>Vận hành</t>
        </is>
      </c>
      <c r="I110" s="9" t="inlineStr">
        <is>
          <t>Chưa bắt đầu</t>
        </is>
      </c>
      <c r="J110" s="15" t="n">
        <v>0</v>
      </c>
      <c r="K110" s="10" t="inlineStr">
        <is>
          <t>KR4-rút gọn 🔶4 giờ</t>
        </is>
      </c>
    </row>
    <row r="111" ht="30" customHeight="1">
      <c r="A111" s="9" t="n">
        <v>110</v>
      </c>
      <c r="B111" s="10" t="inlineStr">
        <is>
          <t>Phase 2 – Vận hành pilot &amp; tinh chỉnh</t>
        </is>
      </c>
      <c r="C111" s="10" t="inlineStr">
        <is>
          <t>Bắt đầu nộp hồ sơ Meta Business Verification (xác minh doanh nghiệp) — chạy song song, không chặn Phase 2</t>
        </is>
      </c>
      <c r="D111" s="11" t="inlineStr"/>
      <c r="E111" s="12" t="n"/>
      <c r="F111" s="13">
        <f>IF(E111="","",E111+ROUNDUP(G111,0)-1)</f>
        <v/>
      </c>
      <c r="G111" s="14" t="n">
        <v>1</v>
      </c>
      <c r="H111" s="10" t="inlineStr">
        <is>
          <t>Tích hợp bên thứ 3</t>
        </is>
      </c>
      <c r="I111" s="9" t="inlineStr">
        <is>
          <t>Chưa bắt đầu</t>
        </is>
      </c>
      <c r="J111" s="15" t="n">
        <v>0</v>
      </c>
      <c r="K111" s="10" t="inlineStr"/>
    </row>
    <row r="112" ht="30" customHeight="1">
      <c r="A112" s="9" t="n">
        <v>111</v>
      </c>
      <c r="B112" s="10" t="inlineStr">
        <is>
          <t>Phase 2 – Vận hành pilot &amp; tinh chỉnh</t>
        </is>
      </c>
      <c r="C112" s="10" t="inlineStr">
        <is>
          <t>Bắt đầu nộp hồ sơ Meta App Review (xin quyền đăng bài tự động) — chạy song song</t>
        </is>
      </c>
      <c r="D112" s="11" t="inlineStr"/>
      <c r="E112" s="12" t="n"/>
      <c r="F112" s="13">
        <f>IF(E112="","",E112+ROUNDUP(G112,0)-1)</f>
        <v/>
      </c>
      <c r="G112" s="14" t="n">
        <v>1</v>
      </c>
      <c r="H112" s="10" t="inlineStr">
        <is>
          <t>Tích hợp bên thứ 3</t>
        </is>
      </c>
      <c r="I112" s="9" t="inlineStr">
        <is>
          <t>Chưa bắt đầu</t>
        </is>
      </c>
      <c r="J112" s="15" t="n">
        <v>0</v>
      </c>
      <c r="K112" s="10" t="inlineStr"/>
    </row>
    <row r="113" ht="30" customHeight="1">
      <c r="A113" s="9" t="n">
        <v>112</v>
      </c>
      <c r="B113" s="10" t="inlineStr">
        <is>
          <t>Phase 2 – Vận hành pilot &amp; tinh chỉnh</t>
        </is>
      </c>
      <c r="C113" s="10" t="inlineStr">
        <is>
          <t>Đo thời gian đăng tay thực tế mỗi tuần, tính xem có phải nút thắt cổ chai thật theo công thức đã định</t>
        </is>
      </c>
      <c r="D113" s="11" t="inlineStr"/>
      <c r="E113" s="12" t="n"/>
      <c r="F113" s="13">
        <f>IF(E113="","",E113+ROUNDUP(G113,0)-1)</f>
        <v/>
      </c>
      <c r="G113" s="14" t="n">
        <v>1</v>
      </c>
      <c r="H113" s="10" t="inlineStr">
        <is>
          <t>Vận hành</t>
        </is>
      </c>
      <c r="I113" s="9" t="inlineStr">
        <is>
          <t>Chưa bắt đầu</t>
        </is>
      </c>
      <c r="J113" s="15" t="n">
        <v>0</v>
      </c>
      <c r="K113" s="10" t="inlineStr">
        <is>
          <t>Công thức ở Phase-Roadmap Phase 2</t>
        </is>
      </c>
    </row>
    <row r="114" ht="30" customHeight="1">
      <c r="A114" s="9" t="n">
        <v>113</v>
      </c>
      <c r="B114" s="10" t="inlineStr">
        <is>
          <t>Phase 2 – Vận hành pilot &amp; tinh chỉnh</t>
        </is>
      </c>
      <c r="C114" s="10" t="inlineStr">
        <is>
          <t>Ra quyết định nhánh rẽ: nếu đăng tay là bottleneck thật → ưu tiên Phase 3; nếu chưa → ưu tiên Phase 6 trước</t>
        </is>
      </c>
      <c r="D114" s="11" t="inlineStr"/>
      <c r="E114" s="12" t="n"/>
      <c r="F114" s="13">
        <f>IF(E114="","",E114+ROUNDUP(G114,0)-1)</f>
        <v/>
      </c>
      <c r="G114" s="14" t="n">
        <v>0.5</v>
      </c>
      <c r="H114" s="10" t="inlineStr">
        <is>
          <t>Quyết định</t>
        </is>
      </c>
      <c r="I114" s="9" t="inlineStr">
        <is>
          <t>Chưa bắt đầu</t>
        </is>
      </c>
      <c r="J114" s="15" t="n">
        <v>0</v>
      </c>
      <c r="K114" s="10" t="inlineStr"/>
    </row>
    <row r="115" ht="30" customHeight="1">
      <c r="A115" s="2" t="n">
        <v>114</v>
      </c>
      <c r="B115" s="3" t="inlineStr">
        <is>
          <t>Phase 3 – Tự động đăng bài (Meta)</t>
        </is>
      </c>
      <c r="C115" s="3" t="inlineStr">
        <is>
          <t>Xây dựng luồng kết nối tài khoản Meta (OAuth Connect) — bấm kết nối, xin đúng quyền cần thiết</t>
        </is>
      </c>
      <c r="D115" s="4" t="inlineStr"/>
      <c r="E115" s="5" t="n"/>
      <c r="F115" s="6">
        <f>IF(E115="","",E115+ROUNDUP(G115,0)-1)</f>
        <v/>
      </c>
      <c r="G115" s="7" t="n">
        <v>3</v>
      </c>
      <c r="H115" s="3" t="inlineStr">
        <is>
          <t>Tích hợp bên thứ 3</t>
        </is>
      </c>
      <c r="I115" s="2" t="inlineStr">
        <is>
          <t>Chưa bắt đầu</t>
        </is>
      </c>
      <c r="J115" s="8" t="n">
        <v>0</v>
      </c>
      <c r="K115" s="3" t="inlineStr"/>
    </row>
    <row r="116" ht="30" customHeight="1">
      <c r="A116" s="9" t="n">
        <v>115</v>
      </c>
      <c r="B116" s="10" t="inlineStr">
        <is>
          <t>Phase 3 – Tự động đăng bài (Meta)</t>
        </is>
      </c>
      <c r="C116" s="10" t="inlineStr">
        <is>
          <t>Lưu trữ token kết nối an toàn (mã hoá), cơ chế tự làm mới trước khi hết hạn</t>
        </is>
      </c>
      <c r="D116" s="11" t="inlineStr"/>
      <c r="E116" s="12" t="n"/>
      <c r="F116" s="13">
        <f>IF(E116="","",E116+ROUNDUP(G116,0)-1)</f>
        <v/>
      </c>
      <c r="G116" s="14" t="n">
        <v>2</v>
      </c>
      <c r="H116" s="10" t="inlineStr">
        <is>
          <t>Tích hợp bên thứ 3</t>
        </is>
      </c>
      <c r="I116" s="9" t="inlineStr">
        <is>
          <t>Chưa bắt đầu</t>
        </is>
      </c>
      <c r="J116" s="15" t="n">
        <v>0</v>
      </c>
      <c r="K116" s="10" t="inlineStr">
        <is>
          <t>Làm mới khi còn ≤7 ngày</t>
        </is>
      </c>
    </row>
    <row r="117" ht="30" customHeight="1">
      <c r="A117" s="9" t="n">
        <v>116</v>
      </c>
      <c r="B117" s="10" t="inlineStr">
        <is>
          <t>Phase 3 – Tự động đăng bài (Meta)</t>
        </is>
      </c>
      <c r="C117" s="10" t="inlineStr">
        <is>
          <t>Xây dựng cơ chế phát hiện khi bị thu hồi quyền kết nối, báo ngay Agency Admin</t>
        </is>
      </c>
      <c r="D117" s="11" t="inlineStr"/>
      <c r="E117" s="12" t="n"/>
      <c r="F117" s="13">
        <f>IF(E117="","",E117+ROUNDUP(G117,0)-1)</f>
        <v/>
      </c>
      <c r="G117" s="14" t="n">
        <v>1.5</v>
      </c>
      <c r="H117" s="10" t="inlineStr">
        <is>
          <t>Tích hợp bên thứ 3</t>
        </is>
      </c>
      <c r="I117" s="9" t="inlineStr">
        <is>
          <t>Chưa bắt đầu</t>
        </is>
      </c>
      <c r="J117" s="15" t="n">
        <v>0</v>
      </c>
      <c r="K117" s="10" t="inlineStr"/>
    </row>
    <row r="118" ht="30" customHeight="1">
      <c r="A118" s="9" t="n">
        <v>117</v>
      </c>
      <c r="B118" s="10" t="inlineStr">
        <is>
          <t>Phase 3 – Tự động đăng bài (Meta)</t>
        </is>
      </c>
      <c r="C118" s="10" t="inlineStr">
        <is>
          <t>[F01] Xây agent tự động đăng bài đã duyệt đúng giờ đã lên lịch, cho cả Facebook và Instagram (2 việc riêng, lỗi 1 cái không huỷ cái kia)</t>
        </is>
      </c>
      <c r="D118" s="11" t="inlineStr"/>
      <c r="E118" s="12" t="n"/>
      <c r="F118" s="13">
        <f>IF(E118="","",E118+ROUNDUP(G118,0)-1)</f>
        <v/>
      </c>
      <c r="G118" s="14" t="n">
        <v>3</v>
      </c>
      <c r="H118" s="10" t="inlineStr">
        <is>
          <t>Logic Agent (AI)</t>
        </is>
      </c>
      <c r="I118" s="9" t="inlineStr">
        <is>
          <t>Chưa bắt đầu</t>
        </is>
      </c>
      <c r="J118" s="15" t="n">
        <v>0</v>
      </c>
      <c r="K118" s="10" t="inlineStr"/>
    </row>
    <row r="119" ht="30" customHeight="1">
      <c r="A119" s="9" t="n">
        <v>118</v>
      </c>
      <c r="B119" s="10" t="inlineStr">
        <is>
          <t>Phase 3 – Tự động đăng bài (Meta)</t>
        </is>
      </c>
      <c r="C119" s="10" t="inlineStr">
        <is>
          <t>Xử lý hashtag đặt ở comment đầu tiên (nếu khách hàng chọn kiểu này)</t>
        </is>
      </c>
      <c r="D119" s="11" t="inlineStr"/>
      <c r="E119" s="12" t="n"/>
      <c r="F119" s="13">
        <f>IF(E119="","",E119+ROUNDUP(G119,0)-1)</f>
        <v/>
      </c>
      <c r="G119" s="14" t="n">
        <v>1</v>
      </c>
      <c r="H119" s="10" t="inlineStr">
        <is>
          <t>Logic Agent (AI)</t>
        </is>
      </c>
      <c r="I119" s="9" t="inlineStr">
        <is>
          <t>Chưa bắt đầu</t>
        </is>
      </c>
      <c r="J119" s="15" t="n">
        <v>0</v>
      </c>
      <c r="K119" s="10" t="inlineStr"/>
    </row>
    <row r="120" ht="30" customHeight="1">
      <c r="A120" s="9" t="n">
        <v>119</v>
      </c>
      <c r="B120" s="10" t="inlineStr">
        <is>
          <t>Phase 3 – Tự động đăng bài (Meta)</t>
        </is>
      </c>
      <c r="C120" s="10" t="inlineStr">
        <is>
          <t>Xử lý khi đổi giờ đăng: huỷ lịch cũ, tạo lịch mới đúng giờ</t>
        </is>
      </c>
      <c r="D120" s="11" t="inlineStr"/>
      <c r="E120" s="12" t="n"/>
      <c r="F120" s="13">
        <f>IF(E120="","",E120+ROUNDUP(G120,0)-1)</f>
        <v/>
      </c>
      <c r="G120" s="14" t="n">
        <v>1</v>
      </c>
      <c r="H120" s="10" t="inlineStr">
        <is>
          <t>Logic Agent (AI)</t>
        </is>
      </c>
      <c r="I120" s="9" t="inlineStr">
        <is>
          <t>Chưa bắt đầu</t>
        </is>
      </c>
      <c r="J120" s="15" t="n">
        <v>0</v>
      </c>
      <c r="K120" s="10" t="inlineStr"/>
    </row>
    <row r="121" ht="30" customHeight="1">
      <c r="A121" s="9" t="n">
        <v>120</v>
      </c>
      <c r="B121" s="10" t="inlineStr">
        <is>
          <t>Phase 3 – Tự động đăng bài (Meta)</t>
        </is>
      </c>
      <c r="C121" s="10" t="inlineStr">
        <is>
          <t>Xây dựng xử lý lỗi khi đăng thất bại (hết hạn token, trang bị khoá, vi phạm chính sách) — thử lại theo giãn cách, báo Agency Admin nếu vẫn lỗi</t>
        </is>
      </c>
      <c r="D121" s="11" t="inlineStr"/>
      <c r="E121" s="12" t="n"/>
      <c r="F121" s="13">
        <f>IF(E121="","",E121+ROUNDUP(G121,0)-1)</f>
        <v/>
      </c>
      <c r="G121" s="14" t="n">
        <v>2</v>
      </c>
      <c r="H121" s="10" t="inlineStr">
        <is>
          <t>Logic Agent (AI)</t>
        </is>
      </c>
      <c r="I121" s="9" t="inlineStr">
        <is>
          <t>Chưa bắt đầu</t>
        </is>
      </c>
      <c r="J121" s="15" t="n">
        <v>0</v>
      </c>
      <c r="K121" s="10" t="inlineStr"/>
    </row>
    <row r="122" ht="30" customHeight="1">
      <c r="A122" s="9" t="n">
        <v>121</v>
      </c>
      <c r="B122" s="10" t="inlineStr">
        <is>
          <t>Phase 3 – Tự động đăng bài (Meta)</t>
        </is>
      </c>
      <c r="C122" s="10" t="inlineStr">
        <is>
          <t>Bỏ nút "Đánh dấu đã đăng" thủ công, thay bằng trạng thái tự động "đã đăng"</t>
        </is>
      </c>
      <c r="D122" s="11" t="inlineStr"/>
      <c r="E122" s="12" t="n"/>
      <c r="F122" s="13">
        <f>IF(E122="","",E122+ROUNDUP(G122,0)-1)</f>
        <v/>
      </c>
      <c r="G122" s="14" t="n">
        <v>1</v>
      </c>
      <c r="H122" s="10" t="inlineStr">
        <is>
          <t>Giao diện - Portal</t>
        </is>
      </c>
      <c r="I122" s="9" t="inlineStr">
        <is>
          <t>Chưa bắt đầu</t>
        </is>
      </c>
      <c r="J122" s="15" t="n">
        <v>0</v>
      </c>
      <c r="K122" s="10" t="inlineStr"/>
    </row>
    <row r="123" ht="30" customHeight="1">
      <c r="A123" s="9" t="n">
        <v>122</v>
      </c>
      <c r="B123" s="10" t="inlineStr">
        <is>
          <t>Phase 3 – Tự động đăng bài (Meta)</t>
        </is>
      </c>
      <c r="C123" s="10" t="inlineStr">
        <is>
          <t>Thêm lại trạng thái "đang đăng" (publishing) vào vòng đời bài viết</t>
        </is>
      </c>
      <c r="D123" s="11" t="inlineStr"/>
      <c r="E123" s="12" t="n"/>
      <c r="F123" s="13">
        <f>IF(E123="","",E123+ROUNDUP(G123,0)-1)</f>
        <v/>
      </c>
      <c r="G123" s="14" t="n">
        <v>1</v>
      </c>
      <c r="H123" s="10" t="inlineStr">
        <is>
          <t>Dữ liệu</t>
        </is>
      </c>
      <c r="I123" s="9" t="inlineStr">
        <is>
          <t>Chưa bắt đầu</t>
        </is>
      </c>
      <c r="J123" s="15" t="n">
        <v>0</v>
      </c>
      <c r="K123" s="10" t="inlineStr"/>
    </row>
    <row r="124" ht="30" customHeight="1">
      <c r="A124" s="9" t="n">
        <v>123</v>
      </c>
      <c r="B124" s="10" t="inlineStr">
        <is>
          <t>Phase 3 – Tự động đăng bài (Meta)</t>
        </is>
      </c>
      <c r="C124" s="10" t="inlineStr">
        <is>
          <t>Xây dựng Hàng đợi lỗi thật (Dead Letter Queue) cho giai đoạn chạy tự động không người canh</t>
        </is>
      </c>
      <c r="D124" s="11" t="inlineStr"/>
      <c r="E124" s="12" t="n"/>
      <c r="F124" s="13">
        <f>IF(E124="","",E124+ROUNDUP(G124,0)-1)</f>
        <v/>
      </c>
      <c r="G124" s="14" t="n">
        <v>3</v>
      </c>
      <c r="H124" s="10" t="inlineStr">
        <is>
          <t>Hạ tầng</t>
        </is>
      </c>
      <c r="I124" s="9" t="inlineStr">
        <is>
          <t>Chưa bắt đầu</t>
        </is>
      </c>
      <c r="J124" s="15" t="n">
        <v>0</v>
      </c>
      <c r="K124" s="10" t="inlineStr">
        <is>
          <t>Automation chạy nền không người canh trực tiếp</t>
        </is>
      </c>
    </row>
    <row r="125" ht="30" customHeight="1">
      <c r="A125" s="9" t="n">
        <v>124</v>
      </c>
      <c r="B125" s="10" t="inlineStr">
        <is>
          <t>Phase 3 – Tự động đăng bài (Meta)</t>
        </is>
      </c>
      <c r="C125" s="10" t="inlineStr">
        <is>
          <t>Xây màn hình Internal App: xem trạng thái kết nối Meta từng khách hàng, làm mới token thủ công</t>
        </is>
      </c>
      <c r="D125" s="11" t="inlineStr"/>
      <c r="E125" s="12" t="n"/>
      <c r="F125" s="13">
        <f>IF(E125="","",E125+ROUNDUP(G125,0)-1)</f>
        <v/>
      </c>
      <c r="G125" s="14" t="n">
        <v>1.5</v>
      </c>
      <c r="H125" s="10" t="inlineStr">
        <is>
          <t>Giao diện - Internal App</t>
        </is>
      </c>
      <c r="I125" s="9" t="inlineStr">
        <is>
          <t>Chưa bắt đầu</t>
        </is>
      </c>
      <c r="J125" s="15" t="n">
        <v>0</v>
      </c>
      <c r="K125" s="10" t="inlineStr"/>
    </row>
    <row r="126" ht="30" customHeight="1">
      <c r="A126" s="9" t="n">
        <v>125</v>
      </c>
      <c r="B126" s="10" t="inlineStr">
        <is>
          <t>Phase 3 – Tự động đăng bài (Meta)</t>
        </is>
      </c>
      <c r="C126" s="10" t="inlineStr">
        <is>
          <t>Xây màn hình Internal App: xem &amp; xử lý lại lỗi trong hàng đợi (chạy lại / đóng lỗi kèm ghi chú)</t>
        </is>
      </c>
      <c r="D126" s="11" t="inlineStr"/>
      <c r="E126" s="12" t="n"/>
      <c r="F126" s="13">
        <f>IF(E126="","",E126+ROUNDUP(G126,0)-1)</f>
        <v/>
      </c>
      <c r="G126" s="14" t="n">
        <v>1.5</v>
      </c>
      <c r="H126" s="10" t="inlineStr">
        <is>
          <t>Giao diện - Internal App</t>
        </is>
      </c>
      <c r="I126" s="9" t="inlineStr">
        <is>
          <t>Chưa bắt đầu</t>
        </is>
      </c>
      <c r="J126" s="15" t="n">
        <v>0</v>
      </c>
      <c r="K126" s="10" t="inlineStr"/>
    </row>
    <row r="127" ht="30" customHeight="1">
      <c r="A127" s="9" t="n">
        <v>126</v>
      </c>
      <c r="B127" s="10" t="inlineStr">
        <is>
          <t>Phase 3 – Tự động đăng bài (Meta)</t>
        </is>
      </c>
      <c r="C127" s="10" t="inlineStr">
        <is>
          <t>Gửi xác nhận cho chủ quán sau khi đăng thành công: link bài viết thật + ảnh đã dùng</t>
        </is>
      </c>
      <c r="D127" s="11" t="inlineStr"/>
      <c r="E127" s="12" t="n"/>
      <c r="F127" s="13">
        <f>IF(E127="","",E127+ROUNDUP(G127,0)-1)</f>
        <v/>
      </c>
      <c r="G127" s="14" t="n">
        <v>1</v>
      </c>
      <c r="H127" s="10" t="inlineStr">
        <is>
          <t>Tích hợp bên thứ 3</t>
        </is>
      </c>
      <c r="I127" s="9" t="inlineStr">
        <is>
          <t>Chưa bắt đầu</t>
        </is>
      </c>
      <c r="J127" s="15" t="n">
        <v>0</v>
      </c>
      <c r="K127" s="10" t="inlineStr"/>
    </row>
    <row r="128" ht="30" customHeight="1">
      <c r="A128" s="9" t="n">
        <v>127</v>
      </c>
      <c r="B128" s="10" t="inlineStr">
        <is>
          <t>Phase 3 – Tự động đăng bài (Meta)</t>
        </is>
      </c>
      <c r="C128" s="10" t="inlineStr">
        <is>
          <t>Theo dõi giới hạn tần suất gọi API Meta, ưu tiên việc đăng bài hơn lấy số liệu khi gần chạm giới hạn</t>
        </is>
      </c>
      <c r="D128" s="11" t="inlineStr"/>
      <c r="E128" s="12" t="n"/>
      <c r="F128" s="13">
        <f>IF(E128="","",E128+ROUNDUP(G128,0)-1)</f>
        <v/>
      </c>
      <c r="G128" s="14" t="n">
        <v>1</v>
      </c>
      <c r="H128" s="10" t="inlineStr">
        <is>
          <t>Tích hợp bên thứ 3</t>
        </is>
      </c>
      <c r="I128" s="9" t="inlineStr">
        <is>
          <t>Chưa bắt đầu</t>
        </is>
      </c>
      <c r="J128" s="15" t="n">
        <v>0</v>
      </c>
      <c r="K128" s="10" t="inlineStr"/>
    </row>
    <row r="129" ht="30" customHeight="1">
      <c r="A129" s="9" t="n">
        <v>128</v>
      </c>
      <c r="B129" s="10" t="inlineStr">
        <is>
          <t>Phase 3 – Tự động đăng bài (Meta)</t>
        </is>
      </c>
      <c r="C129" s="10" t="inlineStr">
        <is>
          <t>Đo &amp; xác nhận: luồng kết nối Meta hoàn thành ≤5 phút</t>
        </is>
      </c>
      <c r="D129" s="11" t="inlineStr"/>
      <c r="E129" s="12" t="n"/>
      <c r="F129" s="13">
        <f>IF(E129="","",E129+ROUNDUP(G129,0)-1)</f>
        <v/>
      </c>
      <c r="G129" s="14" t="n">
        <v>0.5</v>
      </c>
      <c r="H129" s="10" t="inlineStr">
        <is>
          <t>Kiểm thử</t>
        </is>
      </c>
      <c r="I129" s="9" t="inlineStr">
        <is>
          <t>Chưa bắt đầu</t>
        </is>
      </c>
      <c r="J129" s="15" t="n">
        <v>0</v>
      </c>
      <c r="K129" s="10" t="inlineStr">
        <is>
          <t>KR3</t>
        </is>
      </c>
    </row>
    <row r="130" ht="30" customHeight="1">
      <c r="A130" s="9" t="n">
        <v>129</v>
      </c>
      <c r="B130" s="10" t="inlineStr">
        <is>
          <t>Phase 3 – Tự động đăng bài (Meta)</t>
        </is>
      </c>
      <c r="C130" s="10" t="inlineStr">
        <is>
          <t>Đo &amp; xác nhận: tỷ lệ đăng bài thành công không cần can thiệp tay đạt mục tiêu</t>
        </is>
      </c>
      <c r="D130" s="11" t="inlineStr"/>
      <c r="E130" s="12" t="n"/>
      <c r="F130" s="13">
        <f>IF(E130="","",E130+ROUNDUP(G130,0)-1)</f>
        <v/>
      </c>
      <c r="G130" s="14" t="n">
        <v>0.5</v>
      </c>
      <c r="H130" s="10" t="inlineStr">
        <is>
          <t>Kiểm thử</t>
        </is>
      </c>
      <c r="I130" s="9" t="inlineStr">
        <is>
          <t>Chưa bắt đầu</t>
        </is>
      </c>
      <c r="J130" s="15" t="n">
        <v>0</v>
      </c>
      <c r="K130" s="10" t="inlineStr"/>
    </row>
    <row r="131" ht="30" customHeight="1">
      <c r="A131" s="2" t="n">
        <v>130</v>
      </c>
      <c r="B131" s="3" t="inlineStr">
        <is>
          <t>Phase 4 – Phân tích số liệu &amp; học hỏi</t>
        </is>
      </c>
      <c r="C131" s="3" t="inlineStr">
        <is>
          <t>[G01] Xây agent thu thập số liệu Meta cho bài đã đăng được 7 ngày (reach, thích, bình luận, chia sẻ, lưu, xem video...)</t>
        </is>
      </c>
      <c r="D131" s="4" t="inlineStr"/>
      <c r="E131" s="5" t="n"/>
      <c r="F131" s="6">
        <f>IF(E131="","",E131+ROUNDUP(G131,0)-1)</f>
        <v/>
      </c>
      <c r="G131" s="7" t="n">
        <v>3</v>
      </c>
      <c r="H131" s="3" t="inlineStr">
        <is>
          <t>Logic Agent (AI)</t>
        </is>
      </c>
      <c r="I131" s="2" t="inlineStr">
        <is>
          <t>Chưa bắt đầu</t>
        </is>
      </c>
      <c r="J131" s="8" t="n">
        <v>0</v>
      </c>
      <c r="K131" s="3" t="inlineStr"/>
    </row>
    <row r="132" ht="30" customHeight="1">
      <c r="A132" s="9" t="n">
        <v>131</v>
      </c>
      <c r="B132" s="10" t="inlineStr">
        <is>
          <t>Phase 4 – Phân tích số liệu &amp; học hỏi</t>
        </is>
      </c>
      <c r="C132" s="10" t="inlineStr">
        <is>
          <t>[G01] Xử lý trường hợp không lấy được số liệu do giới hạn quyền — ghi "không có dữ liệu" thay vì đoán bằng 0</t>
        </is>
      </c>
      <c r="D132" s="11" t="inlineStr"/>
      <c r="E132" s="12" t="n"/>
      <c r="F132" s="13">
        <f>IF(E132="","",E132+ROUNDUP(G132,0)-1)</f>
        <v/>
      </c>
      <c r="G132" s="14" t="n">
        <v>1</v>
      </c>
      <c r="H132" s="10" t="inlineStr">
        <is>
          <t>Logic Agent (AI)</t>
        </is>
      </c>
      <c r="I132" s="9" t="inlineStr">
        <is>
          <t>Chưa bắt đầu</t>
        </is>
      </c>
      <c r="J132" s="15" t="n">
        <v>0</v>
      </c>
      <c r="K132" s="10" t="inlineStr"/>
    </row>
    <row r="133" ht="30" customHeight="1">
      <c r="A133" s="9" t="n">
        <v>132</v>
      </c>
      <c r="B133" s="10" t="inlineStr">
        <is>
          <t>Phase 4 – Phân tích số liệu &amp; học hỏi</t>
        </is>
      </c>
      <c r="C133" s="10" t="inlineStr">
        <is>
          <t>[G01] Tự tính chỉ số tương tác (engagement rate) theo công thức chuẩn thống nhất</t>
        </is>
      </c>
      <c r="D133" s="11" t="inlineStr"/>
      <c r="E133" s="12" t="n"/>
      <c r="F133" s="13">
        <f>IF(E133="","",E133+ROUNDUP(G133,0)-1)</f>
        <v/>
      </c>
      <c r="G133" s="14" t="n">
        <v>1</v>
      </c>
      <c r="H133" s="10" t="inlineStr">
        <is>
          <t>Logic Agent (AI)</t>
        </is>
      </c>
      <c r="I133" s="9" t="inlineStr">
        <is>
          <t>Chưa bắt đầu</t>
        </is>
      </c>
      <c r="J133" s="15" t="n">
        <v>0</v>
      </c>
      <c r="K133" s="10" t="inlineStr"/>
    </row>
    <row r="134" ht="30" customHeight="1">
      <c r="A134" s="9" t="n">
        <v>133</v>
      </c>
      <c r="B134" s="10" t="inlineStr">
        <is>
          <t>Phase 4 – Phân tích số liệu &amp; học hỏi</t>
        </is>
      </c>
      <c r="C134" s="10" t="inlineStr">
        <is>
          <t>[G02] Xây agent phân tích mô tả: so sánh theo platform, loại nội dung, pillar, khung giờ, kiểu mở đầu</t>
        </is>
      </c>
      <c r="D134" s="11" t="inlineStr"/>
      <c r="E134" s="12" t="n"/>
      <c r="F134" s="13">
        <f>IF(E134="","",E134+ROUNDUP(G134,0)-1)</f>
        <v/>
      </c>
      <c r="G134" s="14" t="n">
        <v>2.5</v>
      </c>
      <c r="H134" s="10" t="inlineStr">
        <is>
          <t>Logic Agent (AI)</t>
        </is>
      </c>
      <c r="I134" s="9" t="inlineStr">
        <is>
          <t>Chưa bắt đầu</t>
        </is>
      </c>
      <c r="J134" s="15" t="n">
        <v>0</v>
      </c>
      <c r="K134" s="10" t="inlineStr"/>
    </row>
    <row r="135" ht="30" customHeight="1">
      <c r="A135" s="9" t="n">
        <v>134</v>
      </c>
      <c r="B135" s="10" t="inlineStr">
        <is>
          <t>Phase 4 – Phân tích số liệu &amp; học hỏi</t>
        </is>
      </c>
      <c r="C135" s="10" t="inlineStr">
        <is>
          <t>[G03] Xây agent phân tích chẩn đoán: so tuần này với 4-8 tuần trước, tìm nguyên nhân tăng/giảm, phát hiện bài bất thường</t>
        </is>
      </c>
      <c r="D135" s="11" t="inlineStr"/>
      <c r="E135" s="12" t="n"/>
      <c r="F135" s="13">
        <f>IF(E135="","",E135+ROUNDUP(G135,0)-1)</f>
        <v/>
      </c>
      <c r="G135" s="14" t="n">
        <v>2.5</v>
      </c>
      <c r="H135" s="10" t="inlineStr">
        <is>
          <t>Logic Agent (AI)</t>
        </is>
      </c>
      <c r="I135" s="9" t="inlineStr">
        <is>
          <t>Chưa bắt đầu</t>
        </is>
      </c>
      <c r="J135" s="15" t="n">
        <v>0</v>
      </c>
      <c r="K135" s="10" t="inlineStr"/>
    </row>
    <row r="136" ht="30" customHeight="1">
      <c r="A136" s="9" t="n">
        <v>135</v>
      </c>
      <c r="B136" s="10" t="inlineStr">
        <is>
          <t>Phase 4 – Phân tích số liệu &amp; học hỏi</t>
        </is>
      </c>
      <c r="C136" s="10" t="inlineStr">
        <is>
          <t>[G04] Xây agent đưa đề xuất cụ thể cho tuần sau (loại nội dung, giờ đăng, ảnh cần chụp thêm)</t>
        </is>
      </c>
      <c r="D136" s="11" t="inlineStr"/>
      <c r="E136" s="12" t="n"/>
      <c r="F136" s="13">
        <f>IF(E136="","",E136+ROUNDUP(G136,0)-1)</f>
        <v/>
      </c>
      <c r="G136" s="14" t="n">
        <v>2.5</v>
      </c>
      <c r="H136" s="10" t="inlineStr">
        <is>
          <t>Logic Agent (AI)</t>
        </is>
      </c>
      <c r="I136" s="9" t="inlineStr">
        <is>
          <t>Chưa bắt đầu</t>
        </is>
      </c>
      <c r="J136" s="15" t="n">
        <v>0</v>
      </c>
      <c r="K136" s="10" t="inlineStr"/>
    </row>
    <row r="137" ht="30" customHeight="1">
      <c r="A137" s="9" t="n">
        <v>136</v>
      </c>
      <c r="B137" s="10" t="inlineStr">
        <is>
          <t>Phase 4 – Phân tích số liệu &amp; học hỏi</t>
        </is>
      </c>
      <c r="C137" s="10" t="inlineStr">
        <is>
          <t>[G04] Tạo báo cáo dễ hiểu cho chủ quán (không thuật ngữ kỹ thuật) + gói dữ liệu học máy nội bộ</t>
        </is>
      </c>
      <c r="D137" s="11" t="inlineStr"/>
      <c r="E137" s="12" t="n"/>
      <c r="F137" s="13">
        <f>IF(E137="","",E137+ROUNDUP(G137,0)-1)</f>
        <v/>
      </c>
      <c r="G137" s="14" t="n">
        <v>1.5</v>
      </c>
      <c r="H137" s="10" t="inlineStr">
        <is>
          <t>Logic Agent (AI)</t>
        </is>
      </c>
      <c r="I137" s="9" t="inlineStr">
        <is>
          <t>Chưa bắt đầu</t>
        </is>
      </c>
      <c r="J137" s="15" t="n">
        <v>0</v>
      </c>
      <c r="K137" s="10" t="inlineStr"/>
    </row>
    <row r="138" ht="30" customHeight="1">
      <c r="A138" s="9" t="n">
        <v>137</v>
      </c>
      <c r="B138" s="10" t="inlineStr">
        <is>
          <t>Phase 4 – Phân tích số liệu &amp; học hỏi</t>
        </is>
      </c>
      <c r="C138" s="10" t="inlineStr">
        <is>
          <t>Xây dựng Cổng "Xác nhận đã đọc báo cáo": chủ quán xác nhận/góp ý/hỏi lại</t>
        </is>
      </c>
      <c r="D138" s="11" t="inlineStr"/>
      <c r="E138" s="12" t="n"/>
      <c r="F138" s="13">
        <f>IF(E138="","",E138+ROUNDUP(G138,0)-1)</f>
        <v/>
      </c>
      <c r="G138" s="14" t="n">
        <v>1.5</v>
      </c>
      <c r="H138" s="10" t="inlineStr">
        <is>
          <t>Quy trình duyệt</t>
        </is>
      </c>
      <c r="I138" s="9" t="inlineStr">
        <is>
          <t>Chưa bắt đầu</t>
        </is>
      </c>
      <c r="J138" s="15" t="n">
        <v>0</v>
      </c>
      <c r="K138" s="10" t="inlineStr"/>
    </row>
    <row r="139" ht="30" customHeight="1">
      <c r="A139" s="9" t="n">
        <v>138</v>
      </c>
      <c r="B139" s="10" t="inlineStr">
        <is>
          <t>Phase 4 – Phân tích số liệu &amp; học hỏi</t>
        </is>
      </c>
      <c r="C139" s="10" t="inlineStr">
        <is>
          <t>Xây dựng luồng "hỏi lại" báo cáo — tạo thread bình luận, Agency Admin trả lời, không tạo chu kỳ mới</t>
        </is>
      </c>
      <c r="D139" s="11" t="inlineStr"/>
      <c r="E139" s="12" t="n"/>
      <c r="F139" s="13">
        <f>IF(E139="","",E139+ROUNDUP(G139,0)-1)</f>
        <v/>
      </c>
      <c r="G139" s="14" t="n">
        <v>1</v>
      </c>
      <c r="H139" s="10" t="inlineStr">
        <is>
          <t>Quy trình duyệt</t>
        </is>
      </c>
      <c r="I139" s="9" t="inlineStr">
        <is>
          <t>Chưa bắt đầu</t>
        </is>
      </c>
      <c r="J139" s="15" t="n">
        <v>0</v>
      </c>
      <c r="K139" s="10" t="inlineStr"/>
    </row>
    <row r="140" ht="30" customHeight="1">
      <c r="A140" s="9" t="n">
        <v>139</v>
      </c>
      <c r="B140" s="10" t="inlineStr">
        <is>
          <t>Phase 4 – Phân tích số liệu &amp; học hỏi</t>
        </is>
      </c>
      <c r="C140" s="10" t="inlineStr">
        <is>
          <t>[P01] Xây pipeline học từ phản hồi: đọc mọi chỉnh sửa/từ chối + báo cáo phân tích, chuyển thành bài học cụ thể, ghi ngược vào trí nhớ đúng agent</t>
        </is>
      </c>
      <c r="D140" s="11" t="inlineStr"/>
      <c r="E140" s="12" t="n"/>
      <c r="F140" s="13">
        <f>IF(E140="","",E140+ROUNDUP(G140,0)-1)</f>
        <v/>
      </c>
      <c r="G140" s="14" t="n">
        <v>2.5</v>
      </c>
      <c r="H140" s="10" t="inlineStr">
        <is>
          <t>Logic Agent (AI)</t>
        </is>
      </c>
      <c r="I140" s="9" t="inlineStr">
        <is>
          <t>Chưa bắt đầu</t>
        </is>
      </c>
      <c r="J140" s="15" t="n">
        <v>0</v>
      </c>
      <c r="K140" s="10" t="inlineStr"/>
    </row>
    <row r="141" ht="30" customHeight="1">
      <c r="A141" s="9" t="n">
        <v>140</v>
      </c>
      <c r="B141" s="10" t="inlineStr">
        <is>
          <t>Phase 4 – Phân tích số liệu &amp; học hỏi</t>
        </is>
      </c>
      <c r="C141" s="10" t="inlineStr">
        <is>
          <t>Nâng cấp bảng trí nhớ để lưu thêm "mẫu hình hiệu quả" theo pillar/giờ/loại nội dung</t>
        </is>
      </c>
      <c r="D141" s="11" t="inlineStr"/>
      <c r="E141" s="12" t="n"/>
      <c r="F141" s="13">
        <f>IF(E141="","",E141+ROUNDUP(G141,0)-1)</f>
        <v/>
      </c>
      <c r="G141" s="14" t="n">
        <v>1.5</v>
      </c>
      <c r="H141" s="10" t="inlineStr">
        <is>
          <t>Dữ liệu</t>
        </is>
      </c>
      <c r="I141" s="9" t="inlineStr">
        <is>
          <t>Chưa bắt đầu</t>
        </is>
      </c>
      <c r="J141" s="15" t="n">
        <v>0</v>
      </c>
      <c r="K141" s="10" t="inlineStr"/>
    </row>
    <row r="142" ht="30" customHeight="1">
      <c r="A142" s="9" t="n">
        <v>141</v>
      </c>
      <c r="B142" s="10" t="inlineStr">
        <is>
          <t>Phase 4 – Phân tích số liệu &amp; học hỏi</t>
        </is>
      </c>
      <c r="C142" s="10" t="inlineStr">
        <is>
          <t>Xây trang Portal hiển thị báo cáo phân tích dạng đọc được (không phải số liệu thô)</t>
        </is>
      </c>
      <c r="D142" s="11" t="inlineStr"/>
      <c r="E142" s="12" t="n"/>
      <c r="F142" s="13">
        <f>IF(E142="","",E142+ROUNDUP(G142,0)-1)</f>
        <v/>
      </c>
      <c r="G142" s="14" t="n">
        <v>2</v>
      </c>
      <c r="H142" s="10" t="inlineStr">
        <is>
          <t>Giao diện - Portal</t>
        </is>
      </c>
      <c r="I142" s="9" t="inlineStr">
        <is>
          <t>Chưa bắt đầu</t>
        </is>
      </c>
      <c r="J142" s="15" t="n">
        <v>0</v>
      </c>
      <c r="K142" s="10" t="inlineStr"/>
    </row>
    <row r="143" ht="30" customHeight="1">
      <c r="A143" s="9" t="n">
        <v>142</v>
      </c>
      <c r="B143" s="10" t="inlineStr">
        <is>
          <t>Phase 4 – Phân tích số liệu &amp; học hỏi</t>
        </is>
      </c>
      <c r="C143" s="10" t="inlineStr">
        <is>
          <t>Theo dõi chi phí AI phát sinh riêng cho việc phân tích định kỳ</t>
        </is>
      </c>
      <c r="D143" s="11" t="inlineStr"/>
      <c r="E143" s="12" t="n"/>
      <c r="F143" s="13">
        <f>IF(E143="","",E143+ROUNDUP(G143,0)-1)</f>
        <v/>
      </c>
      <c r="G143" s="14" t="n">
        <v>0.5</v>
      </c>
      <c r="H143" s="10" t="inlineStr">
        <is>
          <t>Vận hành</t>
        </is>
      </c>
      <c r="I143" s="9" t="inlineStr">
        <is>
          <t>Chưa bắt đầu</t>
        </is>
      </c>
      <c r="J143" s="15" t="n">
        <v>0</v>
      </c>
      <c r="K143" s="10" t="inlineStr"/>
    </row>
    <row r="144" ht="30" customHeight="1">
      <c r="A144" s="9" t="n">
        <v>143</v>
      </c>
      <c r="B144" s="10" t="inlineStr">
        <is>
          <t>Phase 4 – Phân tích số liệu &amp; học hỏi</t>
        </is>
      </c>
      <c r="C144" s="10" t="inlineStr">
        <is>
          <t>Đo &amp; xác nhận: vòng lặp đầy đủ tạo→duyệt→đăng→phân tích→học chạy liên tục không cần thao tác tay ngoài duyệt bài</t>
        </is>
      </c>
      <c r="D144" s="11" t="inlineStr"/>
      <c r="E144" s="12" t="n"/>
      <c r="F144" s="13">
        <f>IF(E144="","",E144+ROUNDUP(G144,0)-1)</f>
        <v/>
      </c>
      <c r="G144" s="14" t="n">
        <v>1</v>
      </c>
      <c r="H144" s="10" t="inlineStr">
        <is>
          <t>Kiểm thử</t>
        </is>
      </c>
      <c r="I144" s="9" t="inlineStr">
        <is>
          <t>Chưa bắt đầu</t>
        </is>
      </c>
      <c r="J144" s="15" t="n">
        <v>0</v>
      </c>
      <c r="K144" s="10" t="inlineStr">
        <is>
          <t>Đạt KR1 gốc</t>
        </is>
      </c>
    </row>
    <row r="145" ht="30" customHeight="1">
      <c r="A145" s="9" t="n">
        <v>144</v>
      </c>
      <c r="B145" s="10" t="inlineStr">
        <is>
          <t>Phase 4 – Phân tích số liệu &amp; học hỏi</t>
        </is>
      </c>
      <c r="C145" s="10" t="inlineStr">
        <is>
          <t>Đo &amp; xác nhận: đề xuất của G04 có cải thiện chất lượng nội dung chu kỳ sau không (so % duyệt-ngay-lần-đầu trước/sau)</t>
        </is>
      </c>
      <c r="D145" s="11" t="inlineStr"/>
      <c r="E145" s="12" t="n"/>
      <c r="F145" s="13">
        <f>IF(E145="","",E145+ROUNDUP(G145,0)-1)</f>
        <v/>
      </c>
      <c r="G145" s="14" t="n">
        <v>1</v>
      </c>
      <c r="H145" s="10" t="inlineStr">
        <is>
          <t>Kiểm thử</t>
        </is>
      </c>
      <c r="I145" s="9" t="inlineStr">
        <is>
          <t>Chưa bắt đầu</t>
        </is>
      </c>
      <c r="J145" s="15" t="n">
        <v>0</v>
      </c>
      <c r="K145" s="10" t="inlineStr"/>
    </row>
    <row r="146" ht="30" customHeight="1">
      <c r="A146" s="2" t="n">
        <v>145</v>
      </c>
      <c r="B146" s="3" t="inlineStr">
        <is>
          <t>Phase 5 – Chiến lược đầy đủ (B01 + RAG)</t>
        </is>
      </c>
      <c r="C146" s="3" t="inlineStr">
        <is>
          <t>[B01] Xây agent tạo kế hoạch truyền thông tổng thể (IMC Plan) khi có chiến dịch/sự kiện</t>
        </is>
      </c>
      <c r="D146" s="4" t="inlineStr"/>
      <c r="E146" s="5" t="n"/>
      <c r="F146" s="6">
        <f>IF(E146="","",E146+ROUNDUP(G146,0)-1)</f>
        <v/>
      </c>
      <c r="G146" s="7" t="n">
        <v>3</v>
      </c>
      <c r="H146" s="3" t="inlineStr">
        <is>
          <t>Logic Agent (AI)</t>
        </is>
      </c>
      <c r="I146" s="2" t="inlineStr">
        <is>
          <t>Chưa bắt đầu</t>
        </is>
      </c>
      <c r="J146" s="8" t="n">
        <v>0</v>
      </c>
      <c r="K146" s="3" t="inlineStr"/>
    </row>
    <row r="147" ht="30" customHeight="1">
      <c r="A147" s="9" t="n">
        <v>146</v>
      </c>
      <c r="B147" s="10" t="inlineStr">
        <is>
          <t>Phase 5 – Chiến lược đầy đủ (B01 + RAG)</t>
        </is>
      </c>
      <c r="C147" s="10" t="inlineStr">
        <is>
          <t>[B01] Đảm bảo kế hoạch gồm đủ 7 phần chuẩn ngành (bối cảnh, mục tiêu, đối tượng &amp; insight, ý tưởng lớn, kế hoạch theo giai đoạn, ngân sách, chỉ số đo lường)</t>
        </is>
      </c>
      <c r="D147" s="11" t="inlineStr"/>
      <c r="E147" s="12" t="n"/>
      <c r="F147" s="13">
        <f>IF(E147="","",E147+ROUNDUP(G147,0)-1)</f>
        <v/>
      </c>
      <c r="G147" s="14" t="n">
        <v>2</v>
      </c>
      <c r="H147" s="10" t="inlineStr">
        <is>
          <t>Logic Agent (AI)</t>
        </is>
      </c>
      <c r="I147" s="9" t="inlineStr">
        <is>
          <t>Chưa bắt đầu</t>
        </is>
      </c>
      <c r="J147" s="15" t="n">
        <v>0</v>
      </c>
      <c r="K147" s="10" t="inlineStr"/>
    </row>
    <row r="148" ht="30" customHeight="1">
      <c r="A148" s="9" t="n">
        <v>147</v>
      </c>
      <c r="B148" s="10" t="inlineStr">
        <is>
          <t>Phase 5 – Chiến lược đầy đủ (B01 + RAG)</t>
        </is>
      </c>
      <c r="C148" s="10" t="inlineStr">
        <is>
          <t>Xây dựng Cổng duyệt S1 — IMC Plan: đọc, sửa trực tiếp trên văn bản, bôi đậm, bình luận từng đoạn, duyệt</t>
        </is>
      </c>
      <c r="D148" s="11" t="inlineStr"/>
      <c r="E148" s="12" t="n"/>
      <c r="F148" s="13">
        <f>IF(E148="","",E148+ROUNDUP(G148,0)-1)</f>
        <v/>
      </c>
      <c r="G148" s="14" t="n">
        <v>3</v>
      </c>
      <c r="H148" s="10" t="inlineStr">
        <is>
          <t>Quy trình duyệt</t>
        </is>
      </c>
      <c r="I148" s="9" t="inlineStr">
        <is>
          <t>Chưa bắt đầu</t>
        </is>
      </c>
      <c r="J148" s="15" t="n">
        <v>0</v>
      </c>
      <c r="K148" s="10" t="inlineStr"/>
    </row>
    <row r="149" ht="30" customHeight="1">
      <c r="A149" s="9" t="n">
        <v>148</v>
      </c>
      <c r="B149" s="10" t="inlineStr">
        <is>
          <t>Phase 5 – Chiến lược đầy đủ (B01 + RAG)</t>
        </is>
      </c>
      <c r="C149" s="10" t="inlineStr">
        <is>
          <t>Xây dựng trang quản lý Chiến dịch/Sự kiện: tạo mới, xem danh sách, kết thúc sớm</t>
        </is>
      </c>
      <c r="D149" s="11" t="inlineStr"/>
      <c r="E149" s="12" t="n"/>
      <c r="F149" s="13">
        <f>IF(E149="","",E149+ROUNDUP(G149,0)-1)</f>
        <v/>
      </c>
      <c r="G149" s="14" t="n">
        <v>2</v>
      </c>
      <c r="H149" s="10" t="inlineStr">
        <is>
          <t>Giao diện - Portal</t>
        </is>
      </c>
      <c r="I149" s="9" t="inlineStr">
        <is>
          <t>Chưa bắt đầu</t>
        </is>
      </c>
      <c r="J149" s="15" t="n">
        <v>0</v>
      </c>
      <c r="K149" s="10" t="inlineStr"/>
    </row>
    <row r="150" ht="30" customHeight="1">
      <c r="A150" s="9" t="n">
        <v>149</v>
      </c>
      <c r="B150" s="10" t="inlineStr">
        <is>
          <t>Phase 5 – Chiến lược đầy đủ (B01 + RAG)</t>
        </is>
      </c>
      <c r="C150" s="10" t="inlineStr">
        <is>
          <t>Khi có chiến dịch → B02 đọc kế hoạch IMC để sáng tạo pillar bám sát chiến dịch</t>
        </is>
      </c>
      <c r="D150" s="11" t="inlineStr"/>
      <c r="E150" s="12" t="n"/>
      <c r="F150" s="13">
        <f>IF(E150="","",E150+ROUNDUP(G150,0)-1)</f>
        <v/>
      </c>
      <c r="G150" s="14" t="n">
        <v>1.5</v>
      </c>
      <c r="H150" s="10" t="inlineStr">
        <is>
          <t>Logic Agent (AI)</t>
        </is>
      </c>
      <c r="I150" s="9" t="inlineStr">
        <is>
          <t>Chưa bắt đầu</t>
        </is>
      </c>
      <c r="J150" s="15" t="n">
        <v>0</v>
      </c>
      <c r="K150" s="10" t="inlineStr"/>
    </row>
    <row r="151" ht="30" customHeight="1">
      <c r="A151" s="9" t="n">
        <v>150</v>
      </c>
      <c r="B151" s="10" t="inlineStr">
        <is>
          <t>Phase 5 – Chiến lược đầy đủ (B01 + RAG)</t>
        </is>
      </c>
      <c r="C151" s="10" t="inlineStr">
        <is>
          <t>Khôi phục kho tài liệu thương hiệu dài: upload PDF/Word/PowerPoint + tự động trích xuất nội dung</t>
        </is>
      </c>
      <c r="D151" s="11" t="inlineStr"/>
      <c r="E151" s="12" t="n"/>
      <c r="F151" s="13">
        <f>IF(E151="","",E151+ROUNDUP(G151,0)-1)</f>
        <v/>
      </c>
      <c r="G151" s="14" t="n">
        <v>3</v>
      </c>
      <c r="H151" s="10" t="inlineStr">
        <is>
          <t>Dữ liệu</t>
        </is>
      </c>
      <c r="I151" s="9" t="inlineStr">
        <is>
          <t>Chưa bắt đầu</t>
        </is>
      </c>
      <c r="J151" s="15" t="n">
        <v>0</v>
      </c>
      <c r="K151" s="10" t="inlineStr"/>
    </row>
    <row r="152" ht="30" customHeight="1">
      <c r="A152" s="9" t="n">
        <v>151</v>
      </c>
      <c r="B152" s="10" t="inlineStr">
        <is>
          <t>Phase 5 – Chiến lược đầy đủ (B01 + RAG)</t>
        </is>
      </c>
      <c r="C152" s="10" t="inlineStr">
        <is>
          <t>Xây dựng tìm kiếm ngữ nghĩa thật cho thư viện thương hiệu (thay form ngắn hiện tại)</t>
        </is>
      </c>
      <c r="D152" s="11" t="inlineStr"/>
      <c r="E152" s="12" t="n"/>
      <c r="F152" s="13">
        <f>IF(E152="","",E152+ROUNDUP(G152,0)-1)</f>
        <v/>
      </c>
      <c r="G152" s="14" t="n">
        <v>3</v>
      </c>
      <c r="H152" s="10" t="inlineStr">
        <is>
          <t>Dữ liệu</t>
        </is>
      </c>
      <c r="I152" s="9" t="inlineStr">
        <is>
          <t>Chưa bắt đầu</t>
        </is>
      </c>
      <c r="J152" s="15" t="n">
        <v>0</v>
      </c>
      <c r="K152" s="10" t="inlineStr"/>
    </row>
    <row r="153" ht="30" customHeight="1">
      <c r="A153" s="9" t="n">
        <v>152</v>
      </c>
      <c r="B153" s="10" t="inlineStr">
        <is>
          <t>Phase 5 – Chiến lược đầy đủ (B01 + RAG)</t>
        </is>
      </c>
      <c r="C153" s="10" t="inlineStr">
        <is>
          <t>Nâng cấp tìm ảnh trong thư viện từ lọc theo tag sang tìm theo ngữ nghĩa (khi thư viện đã lớn)</t>
        </is>
      </c>
      <c r="D153" s="11" t="inlineStr"/>
      <c r="E153" s="12" t="n"/>
      <c r="F153" s="13">
        <f>IF(E153="","",E153+ROUNDUP(G153,0)-1)</f>
        <v/>
      </c>
      <c r="G153" s="14" t="n">
        <v>2</v>
      </c>
      <c r="H153" s="10" t="inlineStr">
        <is>
          <t>Dữ liệu</t>
        </is>
      </c>
      <c r="I153" s="9" t="inlineStr">
        <is>
          <t>Chưa bắt đầu</t>
        </is>
      </c>
      <c r="J153" s="15" t="n">
        <v>0</v>
      </c>
      <c r="K153" s="10" t="inlineStr"/>
    </row>
    <row r="154" ht="30" customHeight="1">
      <c r="A154" s="9" t="n">
        <v>153</v>
      </c>
      <c r="B154" s="10" t="inlineStr">
        <is>
          <t>Phase 5 – Chiến lược đầy đủ (B01 + RAG)</t>
        </is>
      </c>
      <c r="C154" s="10" t="inlineStr">
        <is>
          <t>Xây dựng trình soạn thảo chiến lược (Strategy Co-pilot Editor) đầy đủ cho cả 3 cổng duyệt S1/S2/S3</t>
        </is>
      </c>
      <c r="D154" s="11" t="inlineStr"/>
      <c r="E154" s="12" t="n"/>
      <c r="F154" s="13">
        <f>IF(E154="","",E154+ROUNDUP(G154,0)-1)</f>
        <v/>
      </c>
      <c r="G154" s="14" t="n">
        <v>3</v>
      </c>
      <c r="H154" s="10" t="inlineStr">
        <is>
          <t>Giao diện - Portal</t>
        </is>
      </c>
      <c r="I154" s="9" t="inlineStr">
        <is>
          <t>Chưa bắt đầu</t>
        </is>
      </c>
      <c r="J154" s="15" t="n">
        <v>0</v>
      </c>
      <c r="K154" s="10" t="inlineStr"/>
    </row>
    <row r="155" ht="30" customHeight="1">
      <c r="A155" s="9" t="n">
        <v>154</v>
      </c>
      <c r="B155" s="10" t="inlineStr">
        <is>
          <t>Phase 5 – Chiến lược đầy đủ (B01 + RAG)</t>
        </is>
      </c>
      <c r="C155" s="10" t="inlineStr">
        <is>
          <t>Xây dựng chức năng khách hàng tự giao việc trực tiếp cho từng agent (bỏ qua quy trình chuẩn), vẫn phải qua Evaluator</t>
        </is>
      </c>
      <c r="D155" s="11" t="inlineStr"/>
      <c r="E155" s="12" t="n"/>
      <c r="F155" s="13">
        <f>IF(E155="","",E155+ROUNDUP(G155,0)-1)</f>
        <v/>
      </c>
      <c r="G155" s="14" t="n">
        <v>2</v>
      </c>
      <c r="H155" s="10" t="inlineStr">
        <is>
          <t>Logic Agent (AI)</t>
        </is>
      </c>
      <c r="I155" s="9" t="inlineStr">
        <is>
          <t>Chưa bắt đầu</t>
        </is>
      </c>
      <c r="J155" s="15" t="n">
        <v>0</v>
      </c>
      <c r="K155" s="10" t="inlineStr"/>
    </row>
    <row r="156" ht="30" customHeight="1">
      <c r="A156" s="9" t="n">
        <v>155</v>
      </c>
      <c r="B156" s="10" t="inlineStr">
        <is>
          <t>Phase 5 – Chiến lược đầy đủ (B01 + RAG)</t>
        </is>
      </c>
      <c r="C156" s="10" t="inlineStr">
        <is>
          <t>Đo &amp; xác nhận: B01 tạo IMC Plan đúng thương hiệu, qua cổng duyệt S1 không cần sửa nhiều</t>
        </is>
      </c>
      <c r="D156" s="11" t="inlineStr"/>
      <c r="E156" s="12" t="n"/>
      <c r="F156" s="13">
        <f>IF(E156="","",E156+ROUNDUP(G156,0)-1)</f>
        <v/>
      </c>
      <c r="G156" s="14" t="n">
        <v>0.5</v>
      </c>
      <c r="H156" s="10" t="inlineStr">
        <is>
          <t>Kiểm thử</t>
        </is>
      </c>
      <c r="I156" s="9" t="inlineStr">
        <is>
          <t>Chưa bắt đầu</t>
        </is>
      </c>
      <c r="J156" s="15" t="n">
        <v>0</v>
      </c>
      <c r="K156" s="10" t="inlineStr"/>
    </row>
    <row r="157" ht="30" customHeight="1">
      <c r="A157" s="9" t="n">
        <v>156</v>
      </c>
      <c r="B157" s="10" t="inlineStr">
        <is>
          <t>Phase 5 – Chiến lược đầy đủ (B01 + RAG)</t>
        </is>
      </c>
      <c r="C157" s="10" t="inlineStr">
        <is>
          <t>Đo &amp; xác nhận: tìm kiếm ngữ nghĩa trả kết quả đúng ngữ cảnh khi test với tài liệu dài thật</t>
        </is>
      </c>
      <c r="D157" s="11" t="inlineStr"/>
      <c r="E157" s="12" t="n"/>
      <c r="F157" s="13">
        <f>IF(E157="","",E157+ROUNDUP(G157,0)-1)</f>
        <v/>
      </c>
      <c r="G157" s="14" t="n">
        <v>0.5</v>
      </c>
      <c r="H157" s="10" t="inlineStr">
        <is>
          <t>Kiểm thử</t>
        </is>
      </c>
      <c r="I157" s="9" t="inlineStr">
        <is>
          <t>Chưa bắt đầu</t>
        </is>
      </c>
      <c r="J157" s="15" t="n">
        <v>0</v>
      </c>
      <c r="K157" s="10" t="inlineStr"/>
    </row>
    <row r="158" ht="30" customHeight="1">
      <c r="A158" s="2" t="n">
        <v>157</v>
      </c>
      <c r="B158" s="3" t="inlineStr">
        <is>
          <t>Phase 6 – Mở rộng nhiều khách hàng</t>
        </is>
      </c>
      <c r="C158" s="3" t="inlineStr">
        <is>
          <t>Xây màn hình quản lý nhà cung cấp AI &amp; API key theo từng khách hàng (bật/tắt provider, nhập &amp; test key)</t>
        </is>
      </c>
      <c r="D158" s="4" t="inlineStr"/>
      <c r="E158" s="5" t="n"/>
      <c r="F158" s="6">
        <f>IF(E158="","",E158+ROUNDUP(G158,0)-1)</f>
        <v/>
      </c>
      <c r="G158" s="7" t="n">
        <v>2</v>
      </c>
      <c r="H158" s="3" t="inlineStr">
        <is>
          <t>Giao diện - Internal App</t>
        </is>
      </c>
      <c r="I158" s="2" t="inlineStr">
        <is>
          <t>Chưa bắt đầu</t>
        </is>
      </c>
      <c r="J158" s="8" t="n">
        <v>0</v>
      </c>
      <c r="K158" s="3" t="inlineStr"/>
    </row>
    <row r="159" ht="30" customHeight="1">
      <c r="A159" s="9" t="n">
        <v>158</v>
      </c>
      <c r="B159" s="10" t="inlineStr">
        <is>
          <t>Phase 6 – Mở rộng nhiều khách hàng</t>
        </is>
      </c>
      <c r="C159" s="10" t="inlineStr">
        <is>
          <t>Xây Dashboard theo dõi chi phí AI &amp; ngân sách theo từng khách hàng, từng agent</t>
        </is>
      </c>
      <c r="D159" s="11" t="inlineStr"/>
      <c r="E159" s="12" t="n"/>
      <c r="F159" s="13">
        <f>IF(E159="","",E159+ROUNDUP(G159,0)-1)</f>
        <v/>
      </c>
      <c r="G159" s="14" t="n">
        <v>2</v>
      </c>
      <c r="H159" s="10" t="inlineStr">
        <is>
          <t>Giao diện - Internal App</t>
        </is>
      </c>
      <c r="I159" s="9" t="inlineStr">
        <is>
          <t>Chưa bắt đầu</t>
        </is>
      </c>
      <c r="J159" s="15" t="n">
        <v>0</v>
      </c>
      <c r="K159" s="10" t="inlineStr"/>
    </row>
    <row r="160" ht="30" customHeight="1">
      <c r="A160" s="9" t="n">
        <v>159</v>
      </c>
      <c r="B160" s="10" t="inlineStr">
        <is>
          <t>Phase 6 – Mở rộng nhiều khách hàng</t>
        </is>
      </c>
      <c r="C160" s="10" t="inlineStr">
        <is>
          <t>Xây dựng kết nối Telegram Bot: ghép cặp tài khoản, nhận thông báo, gửi ảnh trực tiếp qua chat</t>
        </is>
      </c>
      <c r="D160" s="11" t="inlineStr"/>
      <c r="E160" s="12" t="n"/>
      <c r="F160" s="13">
        <f>IF(E160="","",E160+ROUNDUP(G160,0)-1)</f>
        <v/>
      </c>
      <c r="G160" s="14" t="n">
        <v>3</v>
      </c>
      <c r="H160" s="10" t="inlineStr">
        <is>
          <t>Tích hợp bên thứ 3</t>
        </is>
      </c>
      <c r="I160" s="9" t="inlineStr">
        <is>
          <t>Chưa bắt đầu</t>
        </is>
      </c>
      <c r="J160" s="15" t="n">
        <v>0</v>
      </c>
      <c r="K160" s="10" t="inlineStr"/>
    </row>
    <row r="161" ht="30" customHeight="1">
      <c r="A161" s="9" t="n">
        <v>160</v>
      </c>
      <c r="B161" s="10" t="inlineStr">
        <is>
          <t>Phase 6 – Mở rộng nhiều khách hàng</t>
        </is>
      </c>
      <c r="C161" s="10" t="inlineStr">
        <is>
          <t>Cải thiện luồng Onboarding khách hàng mới — rút ngắn thời gian setup khi có nhiều khách hàng cùng lúc</t>
        </is>
      </c>
      <c r="D161" s="11" t="inlineStr"/>
      <c r="E161" s="12" t="n"/>
      <c r="F161" s="13">
        <f>IF(E161="","",E161+ROUNDUP(G161,0)-1)</f>
        <v/>
      </c>
      <c r="G161" s="14" t="n">
        <v>2</v>
      </c>
      <c r="H161" s="10" t="inlineStr">
        <is>
          <t>Giao diện - Internal App</t>
        </is>
      </c>
      <c r="I161" s="9" t="inlineStr">
        <is>
          <t>Chưa bắt đầu</t>
        </is>
      </c>
      <c r="J161" s="15" t="n">
        <v>0</v>
      </c>
      <c r="K161" s="10" t="inlineStr"/>
    </row>
    <row r="162" ht="30" customHeight="1">
      <c r="A162" s="9" t="n">
        <v>161</v>
      </c>
      <c r="B162" s="10" t="inlineStr">
        <is>
          <t>Phase 6 – Mở rộng nhiều khách hàng</t>
        </is>
      </c>
      <c r="C162" s="10" t="inlineStr">
        <is>
          <t>Xây dựng Trung tâm thông báo đầy đủ kênh (Portal + Telegram)</t>
        </is>
      </c>
      <c r="D162" s="11" t="inlineStr"/>
      <c r="E162" s="12" t="n"/>
      <c r="F162" s="13">
        <f>IF(E162="","",E162+ROUNDUP(G162,0)-1)</f>
        <v/>
      </c>
      <c r="G162" s="14" t="n">
        <v>2</v>
      </c>
      <c r="H162" s="10" t="inlineStr">
        <is>
          <t>Giao diện - Portal</t>
        </is>
      </c>
      <c r="I162" s="9" t="inlineStr">
        <is>
          <t>Chưa bắt đầu</t>
        </is>
      </c>
      <c r="J162" s="15" t="n">
        <v>0</v>
      </c>
      <c r="K162" s="10" t="inlineStr"/>
    </row>
    <row r="163" ht="30" customHeight="1">
      <c r="A163" s="9" t="n">
        <v>162</v>
      </c>
      <c r="B163" s="10" t="inlineStr">
        <is>
          <t>Phase 6 – Mở rộng nhiều khách hàng</t>
        </is>
      </c>
      <c r="C163" s="10" t="inlineStr">
        <is>
          <t>Đảm bảo hàng đợi lỗi (DLQ) chịu tải tốt khi nhiều khách hàng chạy song song</t>
        </is>
      </c>
      <c r="D163" s="11" t="inlineStr"/>
      <c r="E163" s="12" t="n"/>
      <c r="F163" s="13">
        <f>IF(E163="","",E163+ROUNDUP(G163,0)-1)</f>
        <v/>
      </c>
      <c r="G163" s="14" t="n">
        <v>1.5</v>
      </c>
      <c r="H163" s="10" t="inlineStr">
        <is>
          <t>Hạ tầng</t>
        </is>
      </c>
      <c r="I163" s="9" t="inlineStr">
        <is>
          <t>Chưa bắt đầu</t>
        </is>
      </c>
      <c r="J163" s="15" t="n">
        <v>0</v>
      </c>
      <c r="K163" s="10" t="inlineStr"/>
    </row>
    <row r="164" ht="30" customHeight="1">
      <c r="A164" s="9" t="n">
        <v>163</v>
      </c>
      <c r="B164" s="10" t="inlineStr">
        <is>
          <t>Phase 6 – Mở rộng nhiều khách hàng</t>
        </is>
      </c>
      <c r="C164" s="10" t="inlineStr">
        <is>
          <t>Onboard thêm 2-5 khách hàng SME F&amp;B cùng ngành</t>
        </is>
      </c>
      <c r="D164" s="11" t="inlineStr"/>
      <c r="E164" s="12" t="n"/>
      <c r="F164" s="13">
        <f>IF(E164="","",E164+ROUNDUP(G164,0)-1)</f>
        <v/>
      </c>
      <c r="G164" s="14" t="n">
        <v>5</v>
      </c>
      <c r="H164" s="10" t="inlineStr">
        <is>
          <t>Vận hành</t>
        </is>
      </c>
      <c r="I164" s="9" t="inlineStr">
        <is>
          <t>Chưa bắt đầu</t>
        </is>
      </c>
      <c r="J164" s="15" t="n">
        <v>0</v>
      </c>
      <c r="K164" s="10" t="inlineStr">
        <is>
          <t>Validate trước khi đa dạng hoá ngành</t>
        </is>
      </c>
    </row>
    <row r="165" ht="30" customHeight="1">
      <c r="A165" s="9" t="n">
        <v>164</v>
      </c>
      <c r="B165" s="10" t="inlineStr">
        <is>
          <t>Phase 6 – Mở rộng nhiều khách hàng</t>
        </is>
      </c>
      <c r="C165" s="10" t="inlineStr">
        <is>
          <t>Theo dõi ngưỡng hạ tầng: Supabase free tier và ChromaDB local chịu tải bao nhiêu khách hàng</t>
        </is>
      </c>
      <c r="D165" s="11" t="inlineStr"/>
      <c r="E165" s="12" t="n"/>
      <c r="F165" s="13">
        <f>IF(E165="","",E165+ROUNDUP(G165,0)-1)</f>
        <v/>
      </c>
      <c r="G165" s="14" t="n">
        <v>1</v>
      </c>
      <c r="H165" s="10" t="inlineStr">
        <is>
          <t>Vận hành</t>
        </is>
      </c>
      <c r="I165" s="9" t="inlineStr">
        <is>
          <t>Chưa bắt đầu</t>
        </is>
      </c>
      <c r="J165" s="15" t="n">
        <v>0</v>
      </c>
      <c r="K165" s="10" t="inlineStr"/>
    </row>
    <row r="166" ht="30" customHeight="1">
      <c r="A166" s="9" t="n">
        <v>165</v>
      </c>
      <c r="B166" s="10" t="inlineStr">
        <is>
          <t>Phase 6 – Mở rộng nhiều khách hàng</t>
        </is>
      </c>
      <c r="C166" s="10" t="inlineStr">
        <is>
          <t>Đo &amp; xác nhận: chạy ổn định 3-5 khách hàng song song mà không cần thêm người vận hành</t>
        </is>
      </c>
      <c r="D166" s="11" t="inlineStr"/>
      <c r="E166" s="12" t="n"/>
      <c r="F166" s="13">
        <f>IF(E166="","",E166+ROUNDUP(G166,0)-1)</f>
        <v/>
      </c>
      <c r="G166" s="14" t="n">
        <v>1</v>
      </c>
      <c r="H166" s="10" t="inlineStr">
        <is>
          <t>Kiểm thử</t>
        </is>
      </c>
      <c r="I166" s="9" t="inlineStr">
        <is>
          <t>Chưa bắt đầu</t>
        </is>
      </c>
      <c r="J166" s="15" t="n">
        <v>0</v>
      </c>
      <c r="K166" s="10" t="inlineStr"/>
    </row>
    <row r="167" ht="30" customHeight="1">
      <c r="A167" s="9" t="n">
        <v>166</v>
      </c>
      <c r="B167" s="10" t="inlineStr">
        <is>
          <t>Phase 6 – Mở rộng nhiều khách hàng</t>
        </is>
      </c>
      <c r="C167" s="10" t="inlineStr">
        <is>
          <t>Đo &amp; xác nhận: chi phí vận hành thêm 1 khách hàng mới ở mức thấp</t>
        </is>
      </c>
      <c r="D167" s="11" t="inlineStr"/>
      <c r="E167" s="12" t="n"/>
      <c r="F167" s="13">
        <f>IF(E167="","",E167+ROUNDUP(G167,0)-1)</f>
        <v/>
      </c>
      <c r="G167" s="14" t="n">
        <v>0.5</v>
      </c>
      <c r="H167" s="10" t="inlineStr">
        <is>
          <t>Kiểm thử</t>
        </is>
      </c>
      <c r="I167" s="9" t="inlineStr">
        <is>
          <t>Chưa bắt đầu</t>
        </is>
      </c>
      <c r="J167" s="15" t="n">
        <v>0</v>
      </c>
      <c r="K167" s="10" t="inlineStr"/>
    </row>
    <row r="168" ht="30" customHeight="1">
      <c r="A168" s="2" t="n">
        <v>167</v>
      </c>
      <c r="B168" s="3" t="inlineStr">
        <is>
          <t>Phase 7 – Đa dạng ngành &amp; nâng cấp trí nhớ</t>
        </is>
      </c>
      <c r="C168" s="3" t="inlineStr">
        <is>
          <t>Đánh giá nhu cầu nâng cấp bảng trí nhớ đơn giản lên hệ thống trí nhớ thông minh hơn (Hindsight) nếu dữ liệu đã đủ lớn</t>
        </is>
      </c>
      <c r="D168" s="4" t="inlineStr"/>
      <c r="E168" s="5" t="n"/>
      <c r="F168" s="6">
        <f>IF(E168="","",E168+ROUNDUP(G168,0)-1)</f>
        <v/>
      </c>
      <c r="G168" s="7" t="n">
        <v>1</v>
      </c>
      <c r="H168" s="3" t="inlineStr">
        <is>
          <t>Quyết định</t>
        </is>
      </c>
      <c r="I168" s="2" t="inlineStr">
        <is>
          <t>Chưa bắt đầu</t>
        </is>
      </c>
      <c r="J168" s="8" t="n">
        <v>0</v>
      </c>
      <c r="K168" s="3" t="inlineStr"/>
    </row>
    <row r="169" ht="30" customHeight="1">
      <c r="A169" s="9" t="n">
        <v>168</v>
      </c>
      <c r="B169" s="10" t="inlineStr">
        <is>
          <t>Phase 7 – Đa dạng ngành &amp; nâng cấp trí nhớ</t>
        </is>
      </c>
      <c r="C169" s="10" t="inlineStr">
        <is>
          <t>Nếu nâng cấp: xây sidecar trí nhớ mới, di chuyển dữ liệu, đảm bảo cách ly dữ liệu từng khách hàng</t>
        </is>
      </c>
      <c r="D169" s="11" t="inlineStr"/>
      <c r="E169" s="12" t="n"/>
      <c r="F169" s="13">
        <f>IF(E169="","",E169+ROUNDUP(G169,0)-1)</f>
        <v/>
      </c>
      <c r="G169" s="14" t="n">
        <v>5</v>
      </c>
      <c r="H169" s="10" t="inlineStr">
        <is>
          <t>Hạ tầng</t>
        </is>
      </c>
      <c r="I169" s="9" t="inlineStr">
        <is>
          <t>Chưa bắt đầu</t>
        </is>
      </c>
      <c r="J169" s="15" t="n">
        <v>0</v>
      </c>
      <c r="K169" s="10" t="inlineStr"/>
    </row>
    <row r="170" ht="30" customHeight="1">
      <c r="A170" s="9" t="n">
        <v>169</v>
      </c>
      <c r="B170" s="10" t="inlineStr">
        <is>
          <t>Phase 7 – Đa dạng ngành &amp; nâng cấp trí nhớ</t>
        </is>
      </c>
      <c r="C170" s="10" t="inlineStr">
        <is>
          <t>Nghiên cứu mở rộng sang ngành SME dịch vụ khác ngoài F&amp;B</t>
        </is>
      </c>
      <c r="D170" s="11" t="inlineStr"/>
      <c r="E170" s="12" t="n"/>
      <c r="F170" s="13">
        <f>IF(E170="","",E170+ROUNDUP(G170,0)-1)</f>
        <v/>
      </c>
      <c r="G170" s="14" t="n">
        <v>3</v>
      </c>
      <c r="H170" s="10" t="inlineStr">
        <is>
          <t>Vận hành</t>
        </is>
      </c>
      <c r="I170" s="9" t="inlineStr">
        <is>
          <t>Chưa bắt đầu</t>
        </is>
      </c>
      <c r="J170" s="15" t="n">
        <v>0</v>
      </c>
      <c r="K170" s="10" t="inlineStr"/>
    </row>
    <row r="171" ht="30" customHeight="1">
      <c r="A171" s="9" t="n">
        <v>170</v>
      </c>
      <c r="B171" s="10" t="inlineStr">
        <is>
          <t>Phase 7 – Đa dạng ngành &amp; nâng cấp trí nhớ</t>
        </is>
      </c>
      <c r="C171" s="10" t="inlineStr">
        <is>
          <t>Điều chỉnh quy trình vận hành khi số khách hàng tăng đáng kể (chuẩn hoá hơn thay vì 2 người tự làm hết)</t>
        </is>
      </c>
      <c r="D171" s="11" t="inlineStr"/>
      <c r="E171" s="12" t="n"/>
      <c r="F171" s="13">
        <f>IF(E171="","",E171+ROUNDUP(G171,0)-1)</f>
        <v/>
      </c>
      <c r="G171" s="14" t="n">
        <v>2</v>
      </c>
      <c r="H171" s="10" t="inlineStr">
        <is>
          <t>Vận hành</t>
        </is>
      </c>
      <c r="I171" s="9" t="inlineStr">
        <is>
          <t>Chưa bắt đầu</t>
        </is>
      </c>
      <c r="J171" s="15" t="n">
        <v>0</v>
      </c>
      <c r="K171" s="10" t="inlineStr"/>
    </row>
  </sheetData>
  <autoFilter ref="A1:K171"/>
  <conditionalFormatting sqref="A2:K171">
    <cfRule type="expression" priority="1" dxfId="0">
      <formula>$I2="Hoàn thành"</formula>
    </cfRule>
    <cfRule type="expression" priority="2" dxfId="1">
      <formula>$I2="Đang làm"</formula>
    </cfRule>
    <cfRule type="expression" priority="3" dxfId="2">
      <formula>$I2="Bị chặn"</formula>
    </cfRule>
    <cfRule type="expression" priority="4" dxfId="3">
      <formula>$I2="Chờ review"</formula>
    </cfRule>
  </conditionalFormatting>
  <dataValidations count="3">
    <dataValidation sqref="I2:I171" showDropDown="0" showInputMessage="0" showErrorMessage="0" allowBlank="1" type="list">
      <formula1>"Chưa bắt đầu,Đang làm,Chờ review,Hoàn thành,Bị chặn"</formula1>
    </dataValidation>
    <dataValidation sqref="H2:H171" showDropDown="0" showInputMessage="0" showErrorMessage="0" allowBlank="1" type="list">
      <formula1>"Quyết định,Hạ tầng,Dữ liệu,Logic Agent (AI),Quy trình duyệt,Giao diện - Portal,Giao diện - Internal App,Tích hợp bên thứ 3,Kiểm thử,Vận hành,Tài liệu"</formula1>
    </dataValidation>
    <dataValidation sqref="J2:J171" showDropDown="0" showInputMessage="0" showErrorMessage="1" allowBlank="1" errorTitle="Sai giá trị" error="Nhập số từ 0% đến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70" customWidth="1" min="4" max="4"/>
  </cols>
  <sheetData>
    <row r="1" ht="30" customHeight="1">
      <c r="A1" s="1" t="inlineStr">
        <is>
          <t>Phase / Sprint</t>
        </is>
      </c>
      <c r="B1" s="1" t="inlineStr">
        <is>
          <t>Số công việc</t>
        </is>
      </c>
      <c r="C1" s="1" t="inlineStr">
        <is>
          <t>Tổng số ngày ước tính</t>
        </is>
      </c>
      <c r="D1" s="1" t="inlineStr">
        <is>
          <t>Tiêu chí Pass (điều kiện mở phase/sprint kế tiếp)</t>
        </is>
      </c>
    </row>
    <row r="2" ht="46" customHeight="1">
      <c r="A2" s="10" t="inlineStr">
        <is>
          <t>Phase 0 – Chuẩn bị &amp; Hạ tầng (Sprint 0)</t>
        </is>
      </c>
      <c r="B2" s="9">
        <f>COUNTIF(Checklist!$B:$B,"Phase 0 – Chuẩn bị &amp; Hạ tầng (Sprint 0)")</f>
        <v/>
      </c>
      <c r="C2" s="14">
        <f>SUMIF(Checklist!$B:$B,"Phase 0 – Chuẩn bị &amp; Hạ tầng (Sprint 0)",Checklist!$G:$G)</f>
        <v/>
      </c>
      <c r="D2" s="10" t="inlineStr">
        <is>
          <t>Không có tiêu chí Pass riêng — đây là bước chuẩn bị, xong là chuyển sang Sprint 1.</t>
        </is>
      </c>
    </row>
    <row r="3" ht="46" customHeight="1">
      <c r="A3" s="10" t="inlineStr">
        <is>
          <t>Phase 1 – Sprint 1: Nền tảng dữ liệu</t>
        </is>
      </c>
      <c r="B3" s="9">
        <f>COUNTIF(Checklist!$B:$B,"Phase 1 – Sprint 1: Nền tảng dữ liệu")</f>
        <v/>
      </c>
      <c r="C3" s="14">
        <f>SUMIF(Checklist!$B:$B,"Phase 1 – Sprint 1: Nền tảng dữ liệu",Checklist!$G:$G)</f>
        <v/>
      </c>
      <c r="D3" s="10" t="inlineStr">
        <is>
          <t>Không có tiêu chí Pass riêng cấp Sprint — gộp vào tiêu chí Pass chung của Phase 1 (xem dòng Phase 1 - TỔNG).</t>
        </is>
      </c>
    </row>
    <row r="4" ht="46" customHeight="1">
      <c r="A4" s="10" t="inlineStr">
        <is>
          <t>Phase 1 – Sprint 2: 5 Agent &amp; Quy trình duyệt</t>
        </is>
      </c>
      <c r="B4" s="9">
        <f>COUNTIF(Checklist!$B:$B,"Phase 1 – Sprint 2: 5 Agent &amp; Quy trình duyệt")</f>
        <v/>
      </c>
      <c r="C4" s="14">
        <f>SUMIF(Checklist!$B:$B,"Phase 1 – Sprint 2: 5 Agent &amp; Quy trình duyệt",Checklist!$G:$G)</f>
        <v/>
      </c>
      <c r="D4" s="10" t="inlineStr">
        <is>
          <t>Không có tiêu chí Pass riêng cấp Sprint — gộp vào tiêu chí Pass chung của Phase 1 (xem dòng Phase 1 - TỔNG).</t>
        </is>
      </c>
    </row>
    <row r="5" ht="46" customHeight="1">
      <c r="A5" s="10" t="inlineStr">
        <is>
          <t>Phase 1 – Sprint 3: Portal &amp; Internal App</t>
        </is>
      </c>
      <c r="B5" s="9">
        <f>COUNTIF(Checklist!$B:$B,"Phase 1 – Sprint 3: Portal &amp; Internal App")</f>
        <v/>
      </c>
      <c r="C5" s="14">
        <f>SUMIF(Checklist!$B:$B,"Phase 1 – Sprint 3: Portal &amp; Internal App",Checklist!$G:$G)</f>
        <v/>
      </c>
      <c r="D5" s="10" t="inlineStr">
        <is>
          <t>Không có tiêu chí Pass riêng cấp Sprint — gộp vào tiêu chí Pass chung của Phase 1 (xem dòng Phase 1 - TỔNG).</t>
        </is>
      </c>
    </row>
    <row r="6" ht="46" customHeight="1">
      <c r="A6" s="10" t="inlineStr">
        <is>
          <t>Phase 1 – Sprint 4: Hoàn thiện &amp; Chạy Pilot</t>
        </is>
      </c>
      <c r="B6" s="9">
        <f>COUNTIF(Checklist!$B:$B,"Phase 1 – Sprint 4: Hoàn thiện &amp; Chạy Pilot")</f>
        <v/>
      </c>
      <c r="C6" s="14">
        <f>SUMIF(Checklist!$B:$B,"Phase 1 – Sprint 4: Hoàn thiện &amp; Chạy Pilot",Checklist!$G:$G)</f>
        <v/>
      </c>
      <c r="D6" s="10" t="inlineStr">
        <is>
          <t>Không có tiêu chí Pass riêng cấp Sprint — gộp vào tiêu chí Pass chung của Phase 1 (xem dòng Phase 1 - TỔNG).</t>
        </is>
      </c>
    </row>
    <row r="7" ht="46" customHeight="1">
      <c r="A7" s="16" t="inlineStr">
        <is>
          <t>Phase 1 - TỔNG</t>
        </is>
      </c>
      <c r="B7" s="17">
        <f>COUNTIF(Checklist!$B:$B,"Phase 1*")</f>
        <v/>
      </c>
      <c r="C7" s="18">
        <f>SUMIF(Checklist!$B:$B,"Phase 1*",Checklist!$G:$G)</f>
        <v/>
      </c>
      <c r="D7" s="16" t="inlineStr">
        <is>
          <t>Chạy ≥2 chu kỳ tuần liên tục không cần can thiệp tay ngoài duyệt bài. Trí nhớ agent thực sự dùng được bài học chu kỳ trước. Không worker/task treo &gt;24h. Trường/Thuận (không phải Antigravity) xác nhận chất lượng caption/ảnh dùng được thật, không chỉ "chạy được".</t>
        </is>
      </c>
    </row>
    <row r="8" ht="46" customHeight="1">
      <c r="A8" s="10" t="inlineStr">
        <is>
          <t>Phase 2 – Vận hành pilot &amp; tinh chỉnh</t>
        </is>
      </c>
      <c r="B8" s="9">
        <f>COUNTIF(Checklist!$B:$B,"Phase 2 – Vận hành pilot &amp; tinh chỉnh")</f>
        <v/>
      </c>
      <c r="C8" s="14">
        <f>SUMIF(Checklist!$B:$B,"Phase 2 – Vận hành pilot &amp; tinh chỉnh",Checklist!$G:$G)</f>
        <v/>
      </c>
      <c r="D8" s="10" t="inlineStr">
        <is>
          <t>Đạt đủ KR rút gọn (chu kỳ ổn định, % duyệt lần đầu, thời gian duyệt) trong ≥4 tuần liên tục. Xác nhận rõ đăng tay có phải nút thắt cổ chai thật hay chưa, bằng công thức đã định.</t>
        </is>
      </c>
    </row>
    <row r="9" ht="46" customHeight="1">
      <c r="A9" s="10" t="inlineStr">
        <is>
          <t>Phase 3 – Tự động đăng bài (Meta)</t>
        </is>
      </c>
      <c r="B9" s="9">
        <f>COUNTIF(Checklist!$B:$B,"Phase 3 – Tự động đăng bài (Meta)")</f>
        <v/>
      </c>
      <c r="C9" s="14">
        <f>SUMIF(Checklist!$B:$B,"Phase 3 – Tự động đăng bài (Meta)",Checklist!$G:$G)</f>
        <v/>
      </c>
      <c r="D9" s="10" t="inlineStr">
        <is>
          <t>OAuth kết nối ≤5 phút (đo thật). Tỷ lệ đăng bài thành công không cần can thiệp tay đạt mục tiêu. Thời gian tạo→đăng (qua duyệt) đạt mục tiêu.</t>
        </is>
      </c>
    </row>
    <row r="10" ht="46" customHeight="1">
      <c r="A10" s="10" t="inlineStr">
        <is>
          <t>Phase 4 – Phân tích số liệu &amp; học hỏi</t>
        </is>
      </c>
      <c r="B10" s="9">
        <f>COUNTIF(Checklist!$B:$B,"Phase 4 – Phân tích số liệu &amp; học hỏi")</f>
        <v/>
      </c>
      <c r="C10" s="14">
        <f>SUMIF(Checklist!$B:$B,"Phase 4 – Phân tích số liệu &amp; học hỏi",Checklist!$G:$G)</f>
        <v/>
      </c>
      <c r="D10" s="10" t="inlineStr">
        <is>
          <t>Vòng lặp đầy đủ tạo→duyệt→đăng→phân tích→học chạy liên tục nhiều tuần, không thao tác tay ngoài duyệt bài (đạt KR1 gốc). G04 đo được có cải thiện chất lượng content chu kỳ sau không.</t>
        </is>
      </c>
    </row>
    <row r="11" ht="46" customHeight="1">
      <c r="A11" s="10" t="inlineStr">
        <is>
          <t>Phase 5 – Chiến lược đầy đủ (B01 + RAG)</t>
        </is>
      </c>
      <c r="B11" s="9">
        <f>COUNTIF(Checklist!$B:$B,"Phase 5 – Chiến lược đầy đủ (B01 + RAG)")</f>
        <v/>
      </c>
      <c r="C11" s="14">
        <f>SUMIF(Checklist!$B:$B,"Phase 5 – Chiến lược đầy đủ (B01 + RAG)",Checklist!$G:$G)</f>
        <v/>
      </c>
      <c r="D11" s="10" t="inlineStr">
        <is>
          <t>B01 tạo IMC Plan đúng thương hiệu, qua cổng duyệt S1 không cần sửa nhiều. Tìm kiếm ngữ nghĩa trả đúng ngữ cảnh khi test với tài liệu dài thật.</t>
        </is>
      </c>
    </row>
    <row r="12" ht="46" customHeight="1">
      <c r="A12" s="10" t="inlineStr">
        <is>
          <t>Phase 6 – Mở rộng nhiều khách hàng</t>
        </is>
      </c>
      <c r="B12" s="9">
        <f>COUNTIF(Checklist!$B:$B,"Phase 6 – Mở rộng nhiều khách hàng")</f>
        <v/>
      </c>
      <c r="C12" s="14">
        <f>SUMIF(Checklist!$B:$B,"Phase 6 – Mở rộng nhiều khách hàng",Checklist!$G:$G)</f>
        <v/>
      </c>
      <c r="D12" s="10" t="inlineStr">
        <is>
          <t>≥3-5 khách hàng chạy song song ổn định, không cần thêm người vận hành. Chi phí vận hành thêm 1 khách hàng mới ở mức thấp.</t>
        </is>
      </c>
    </row>
    <row r="13" ht="46" customHeight="1">
      <c r="A13" s="10" t="inlineStr">
        <is>
          <t>Phase 7 – Đa dạng ngành &amp; nâng cấp trí nhớ</t>
        </is>
      </c>
      <c r="B13" s="9">
        <f>COUNTIF(Checklist!$B:$B,"Phase 7 – Đa dạng ngành &amp; nâng cấp trí nhớ")</f>
        <v/>
      </c>
      <c r="C13" s="14">
        <f>SUMIF(Checklist!$B:$B,"Phase 7 – Đa dạng ngành &amp; nâng cấp trí nhớ",Checklist!$G:$G)</f>
        <v/>
      </c>
      <c r="D13" s="10" t="inlineStr">
        <is>
          <t>Không có tiêu chí kỹ thuật cứng — đây là quyết định kinh doanh, dựa vào kết quả thật của Phase 6.</t>
        </is>
      </c>
    </row>
    <row r="14" ht="20" customHeight="1">
      <c r="A14" s="16" t="inlineStr">
        <is>
          <t>TỔNG CỘNG TOÀN DỰ ÁN</t>
        </is>
      </c>
      <c r="B14" s="17">
        <f>COUNTA(Checklist!$A2:$A171)</f>
        <v/>
      </c>
      <c r="C14" s="18">
        <f>SUM(Checklist!$G2:$G171)</f>
        <v/>
      </c>
      <c r="D14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9" t="inlineStr">
        <is>
          <t>CÁCH DÙNG FILE NÀY</t>
        </is>
      </c>
    </row>
    <row r="2" ht="32" customHeight="1">
      <c r="A2" s="20" t="inlineStr">
        <is>
          <t>• Sheet "Checklist": toàn bộ 170 công việc, chia theo Phase/Sprint theo đúng lộ trình CrewLab-Phase-Roadmap.md và CrewLab-MVP-Scope.md.</t>
        </is>
      </c>
    </row>
    <row r="3" ht="32" customHeight="1">
      <c r="A3" s="20" t="inlineStr">
        <is>
          <t>• Sheet "Tổng quan": số lượng công việc + tổng số ngày ước tính mỗi Phase, và Tiêu chí Pass để mở Phase kế tiếp (đọc trước khi báo "xong Phase").</t>
        </is>
      </c>
    </row>
    <row r="4" ht="32" customHeight="1">
      <c r="A4" s="20" t="inlineStr">
        <is>
          <t>• Điền cột "Bắt đầu" (ngày thật) thì cột "Kết thúc" tự tính theo công thức (Bắt đầu + Thời lượng ước tính).</t>
        </is>
      </c>
    </row>
    <row r="5" ht="32" customHeight="1">
      <c r="A5" s="20" t="inlineStr">
        <is>
          <t>• Cột "Thời lượng (ngày)" là ƯỚC LƯỢNG ban đầu để lập kế hoạch — điều chỉnh theo tốc độ thật của Antigravity, đừng coi là cam kết cứng.</t>
        </is>
      </c>
    </row>
    <row r="6" ht="32" customHeight="1">
      <c r="A6" s="20" t="inlineStr">
        <is>
          <t>• Cột "Tình trạng" và "Loại yêu cầu" có sẵn dropdown (bấm vào ô sẽ hiện danh sách chọn). Dòng sẽ tự tô màu theo Tình trạng.</t>
        </is>
      </c>
    </row>
    <row r="7" ht="32" customHeight="1">
      <c r="A7" s="20" t="inlineStr">
        <is>
          <t>• Lọc theo cột "Phase" (dùng nút lọc ở hàng tiêu đề) để xem đúng việc của Sprint hiện tại — đó là những gì nên giao cho Antigravity làm trong vài ngày tới.</t>
        </is>
      </c>
    </row>
    <row r="9">
      <c r="A9" s="19" t="inlineStr">
        <is>
          <t>QUAN TRỌNG — PHẠM VI ĐANG BUILD</t>
        </is>
      </c>
    </row>
    <row r="10" ht="32" customHeight="1">
      <c r="A10" s="20" t="inlineStr">
        <is>
          <t>Theo AGENTS.md: Phase 1 (5 Sprint đầu trong sheet này) là phạm vi ĐANG được phép code thật (5 agent: B02, B03, D01, D02, E01).</t>
        </is>
      </c>
    </row>
    <row r="11" ht="32" customHeight="1">
      <c r="A11" s="20" t="inlineStr">
        <is>
          <t>Phase 2 → Phase 7 trong sheet này CHỈ để tụi mày nhìn thấy toàn cảnh lộ trình và lên kế hoạch — KHÔNG phải việc giao cho Antigravity code ngay.</t>
        </is>
      </c>
    </row>
    <row r="12" ht="32" customHeight="1">
      <c r="A12" s="20" t="inlineStr">
        <is>
          <t>Nếu trong lúc làm Phase 1, Antigravity tự nhắc tới Hindsight / ChromaDB / F01 / G01-G04 / B01 / Meta OAuth / Telegram bot (toàn bộ nội dung Phase 3-7) → DỪNG LẠI, hỏi lại người, đừng để nó tự build theo bản đầy đủ.</t>
        </is>
      </c>
    </row>
    <row r="14">
      <c r="A14" s="19" t="inlineStr">
        <is>
          <t>GIẢI THÍCH CỘT "LOẠI YÊU CẦU"</t>
        </is>
      </c>
    </row>
    <row r="15" ht="32" customHeight="1">
      <c r="A15" s="20" t="inlineStr">
        <is>
          <t>Quyết định — việc cần Trường/Thuận bàn &amp; chốt (không phải code), thường phải làm xong trước khi Antigravity code phần liên quan.</t>
        </is>
      </c>
    </row>
    <row r="16" ht="18" customHeight="1">
      <c r="A16" s="20" t="inlineStr">
        <is>
          <t>Hạ tầng — setup server, deploy, domain, sao lưu... (DevOps).</t>
        </is>
      </c>
    </row>
    <row r="17" ht="18" customHeight="1">
      <c r="A17" s="20" t="inlineStr">
        <is>
          <t>Dữ liệu — thiết kế/tạo bảng trong database, phân quyền dữ liệu.</t>
        </is>
      </c>
    </row>
    <row r="18" ht="32" customHeight="1">
      <c r="A18" s="20" t="inlineStr">
        <is>
          <t>Logic Agent (AI) — phần "bộ não" của 1 agent: agent đọc gì, quyết định gì, xuất ra gì, quy tắc nghiệp vụ của agent đó.</t>
        </is>
      </c>
    </row>
    <row r="19" ht="18" customHeight="1">
      <c r="A19" s="20" t="inlineStr">
        <is>
          <t>Quy trình duyệt — màn hình + luồng cho con người xem/sửa/duyệt/từ chối (HITL Gate).</t>
        </is>
      </c>
    </row>
    <row r="20" ht="18" customHeight="1">
      <c r="A20" s="20" t="inlineStr">
        <is>
          <t>Giao diện - Portal — màn hình dành cho khách hàng (chủ quán) dùng.</t>
        </is>
      </c>
    </row>
    <row r="21" ht="18" customHeight="1">
      <c r="A21" s="20" t="inlineStr">
        <is>
          <t>Giao diện - Internal App — màn hình dành cho Agency Admin (Trường/Thuận) dùng nội bộ.</t>
        </is>
      </c>
    </row>
    <row r="22" ht="18" customHeight="1">
      <c r="A22" s="20" t="inlineStr">
        <is>
          <t>Tích hợp bên thứ 3 — kết nối với hệ thống ngoài (Meta, Telegram...).</t>
        </is>
      </c>
    </row>
    <row r="23" ht="18" customHeight="1">
      <c r="A23" s="20" t="inlineStr">
        <is>
          <t>Kiểm thử — chạy thử, đo đạc, xác nhận đạt tiêu chí trước khi coi là xong.</t>
        </is>
      </c>
    </row>
    <row r="24" ht="18" customHeight="1">
      <c r="A24" s="20" t="inlineStr">
        <is>
          <t>Vận hành — công việc chạy thật hàng ngày/hàng tuần (không phải code).</t>
        </is>
      </c>
    </row>
    <row r="25" ht="18" customHeight="1">
      <c r="A25" s="20" t="inlineStr">
        <is>
          <t>Tài liệu — viết spec, ghi quyết định, cập nhật tài liệu nội bộ.</t>
        </is>
      </c>
    </row>
    <row r="27">
      <c r="A27" s="19" t="inlineStr">
        <is>
          <t>GIẢI THÍCH CỘT "TÌNH TRẠNG"</t>
        </is>
      </c>
    </row>
    <row r="28" ht="18" customHeight="1">
      <c r="A28" s="20" t="inlineStr">
        <is>
          <t>Chưa bắt đầu (xám/mặc định) — chưa ai động vào.</t>
        </is>
      </c>
    </row>
    <row r="29" ht="18" customHeight="1">
      <c r="A29" s="20" t="inlineStr">
        <is>
          <t>Đang làm (vàng) — Antigravity hoặc người đang xử lý.</t>
        </is>
      </c>
    </row>
    <row r="30" ht="18" customHeight="1">
      <c r="A30" s="20" t="inlineStr">
        <is>
          <t>Chờ review (xanh dương nhạt) — code xong, đang chờ người còn lại duyệt Pull Request.</t>
        </is>
      </c>
    </row>
    <row r="31" ht="18" customHeight="1">
      <c r="A31" s="20" t="inlineStr">
        <is>
          <t>Hoàn thành (xanh lá) — đã merge vào main, đã tự chấm đạt Acceptance Criteria trong spec.</t>
        </is>
      </c>
    </row>
    <row r="32" ht="18" customHeight="1">
      <c r="A32" s="20" t="inlineStr">
        <is>
          <t>Bị chặn (đỏ) — đang vướng, cần quyết định hoặc phụ thuộc việc khác chưa xong.</t>
        </is>
      </c>
    </row>
    <row r="34">
      <c r="A34" s="19" t="inlineStr">
        <is>
          <t>GỢI Ý DÙNG HÀNG NGÀY / HÀNG TUẦN</t>
        </is>
      </c>
    </row>
    <row r="35" ht="32" customHeight="1">
      <c r="A35" s="20" t="inlineStr">
        <is>
          <t>Mỗi sáng: lọc Phase đang làm + Tình trạng = "Chưa bắt đầu" hoặc "Đang làm" → chọn 1-3 dòng đầu tiên theo đúng thứ tự trong sheet (thứ tự đã sắp theo phụ thuộc kỹ thuật) → giao cho Antigravity kèm đúng mô tả ở cột Công việc.</t>
        </is>
      </c>
    </row>
    <row r="36" ht="18" customHeight="1">
      <c r="A36" s="20" t="inlineStr">
        <is>
          <t>Cuối ngày: cập nhật Tình trạng + Tiến độ cho các dòng đã đụng vào, kể cả làm dở.</t>
        </is>
      </c>
    </row>
    <row r="37" ht="32" customHeight="1">
      <c r="A37" s="20" t="inlineStr">
        <is>
          <t>Cuối tuần: xem sheet Tổng quan, đối chiếu Tiêu chí Pass để biết Phase/Sprint hiện tại đã đủ điều kiện đóng lại chưa.</t>
        </is>
      </c>
    </row>
  </sheetData>
  <mergeCells count="28">
    <mergeCell ref="A24:B24"/>
    <mergeCell ref="A30:B30"/>
    <mergeCell ref="A15:B15"/>
    <mergeCell ref="A11:B11"/>
    <mergeCell ref="A36:B36"/>
    <mergeCell ref="A6:B6"/>
    <mergeCell ref="A16:B16"/>
    <mergeCell ref="A7:B7"/>
    <mergeCell ref="A25:B25"/>
    <mergeCell ref="A37:B37"/>
    <mergeCell ref="A18:B18"/>
    <mergeCell ref="A3:B3"/>
    <mergeCell ref="A12:B12"/>
    <mergeCell ref="A21:B21"/>
    <mergeCell ref="A2:B2"/>
    <mergeCell ref="A5:B5"/>
    <mergeCell ref="A32:B32"/>
    <mergeCell ref="A23:B23"/>
    <mergeCell ref="A17:B17"/>
    <mergeCell ref="A22:B22"/>
    <mergeCell ref="A35:B35"/>
    <mergeCell ref="A4:B4"/>
    <mergeCell ref="A20:B20"/>
    <mergeCell ref="A29:B29"/>
    <mergeCell ref="A19:B19"/>
    <mergeCell ref="A10:B10"/>
    <mergeCell ref="A28:B28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2026-07-18T09:52:46Z</dcterms:created>
  <dcterms:modified xmlns:dcterms="http://purl.org/dc/terms/" xmlns:xsi="http://www.w3.org/2001/XMLSchema-instance" xsi:type="dcterms:W3CDTF">2026-07-18T09:52:46Z</dcterms:modified>
</cp:coreProperties>
</file>